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U:\MRO\report_checking\"/>
    </mc:Choice>
  </mc:AlternateContent>
  <xr:revisionPtr revIDLastSave="0" documentId="8_{8F065E06-93E9-453C-B355-E42CE5F3BF9C}" xr6:coauthVersionLast="36" xr6:coauthVersionMax="36" xr10:uidLastSave="{00000000-0000-0000-0000-000000000000}"/>
  <bookViews>
    <workbookView xWindow="0" yWindow="0" windowWidth="23040" windowHeight="8652" xr2:uid="{00000000-000D-0000-FFFF-FFFF00000000}"/>
  </bookViews>
  <sheets>
    <sheet name="MRO_А_23.06.2023" sheetId="17" r:id="rId1"/>
    <sheet name="Inputs" sheetId="14" r:id="rId2"/>
  </sheets>
  <externalReferences>
    <externalReference r:id="rId3"/>
    <externalReference r:id="rId4"/>
  </externalReferences>
  <definedNames>
    <definedName name="_xlnm.Print_Area" localSheetId="0">MRO_А_23.06.2023!$A$1:$D$55</definedName>
  </definedNames>
  <calcPr calcId="191029"/>
</workbook>
</file>

<file path=xl/calcChain.xml><?xml version="1.0" encoding="utf-8"?>
<calcChain xmlns="http://schemas.openxmlformats.org/spreadsheetml/2006/main">
  <c r="H6" i="17" l="1"/>
  <c r="G6" i="17" s="1"/>
  <c r="H7" i="17"/>
  <c r="G7" i="17" s="1"/>
  <c r="H8" i="17"/>
  <c r="G8" i="17" s="1"/>
  <c r="H9" i="17"/>
  <c r="G9" i="17" s="1"/>
  <c r="H10" i="17"/>
  <c r="G10" i="17" s="1"/>
  <c r="H11" i="17"/>
  <c r="G11" i="17" s="1"/>
  <c r="H12" i="17"/>
  <c r="G12" i="17" s="1"/>
  <c r="H13" i="17"/>
  <c r="G13" i="17" s="1"/>
  <c r="H14" i="17"/>
  <c r="G14" i="17" s="1"/>
  <c r="H15" i="17"/>
  <c r="G15" i="17" s="1"/>
  <c r="H16" i="17"/>
  <c r="G16" i="17" s="1"/>
  <c r="H17" i="17"/>
  <c r="G17" i="17" s="1"/>
  <c r="H18" i="17"/>
  <c r="G18" i="17" s="1"/>
  <c r="H19" i="17"/>
  <c r="G19" i="17" s="1"/>
  <c r="H20" i="17"/>
  <c r="G20" i="17" s="1"/>
  <c r="H21" i="17"/>
  <c r="G21" i="17" s="1"/>
  <c r="H22" i="17"/>
  <c r="G22" i="17" s="1"/>
  <c r="H23" i="17"/>
  <c r="G23" i="17" s="1"/>
  <c r="H24" i="17"/>
  <c r="G24" i="17" s="1"/>
  <c r="H25" i="17"/>
  <c r="G25" i="17" s="1"/>
  <c r="H5" i="17"/>
  <c r="G5" i="17" s="1"/>
  <c r="G27" i="17" l="1"/>
  <c r="C26" i="17" s="1"/>
  <c r="F4" i="17"/>
  <c r="H27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Kryuchkov, Alexander</author>
  </authors>
  <commentList>
    <comment ref="C4" authorId="0" shapeId="0" xr:uid="{D38923A8-75E4-47D0-B3FB-C9773B4EF5BD}">
      <text>
        <r>
          <rPr>
            <b/>
            <sz val="9"/>
            <color indexed="81"/>
            <rFont val="Tahoma"/>
            <family val="2"/>
            <charset val="204"/>
          </rPr>
          <t>Метод оценки уровня качества (LQ) анализа/отчета.
Метод основан на весовых коэффициентах (WF). Весовой коэффициент определяется для каждого элемента проверки.
Весовой коэффициент представляет собой относительный уровень ошибки (LM) между контрольными точками. Значение представляет влияние на результат и влияние на возможное исправление.
Сумма Весовых Коэффициентов по всем пунктам проверки не равна 1,0.
КПП с N/A не считаются
Качество анализа оценивается следующим методом:
Уровень качества: QL = Сумма (WF для принятых контрольных точек)/Sum(WF для принятых и отклоненных контрольных точек)</t>
        </r>
      </text>
    </comment>
  </commentList>
</comments>
</file>

<file path=xl/sharedStrings.xml><?xml version="1.0" encoding="utf-8"?>
<sst xmlns="http://schemas.openxmlformats.org/spreadsheetml/2006/main" count="463" uniqueCount="444">
  <si>
    <t>Проверил:</t>
  </si>
  <si>
    <t>Нормоконтроль</t>
  </si>
  <si>
    <t>Таблицы оформлены в соответствии с шаблоном</t>
  </si>
  <si>
    <t>Глава "Термины, определения и сокращения" содержит  только те сокращения, которые используются в документе</t>
  </si>
  <si>
    <t>Единицы измерения физических величин  присутствуют</t>
  </si>
  <si>
    <t>Титульный лист заполнен в соответствии с ОПИ</t>
  </si>
  <si>
    <t>Приложения оформлены в соответствии с шаблоном (при их наличии)</t>
  </si>
  <si>
    <t>Требования к изложению текста</t>
  </si>
  <si>
    <t>Формулы</t>
  </si>
  <si>
    <t>Правила работы c шаблоном соблюдены</t>
  </si>
  <si>
    <t>Not Checked</t>
  </si>
  <si>
    <t>Checked OK</t>
  </si>
  <si>
    <t>ERR</t>
  </si>
  <si>
    <t>N/A (see Comments)</t>
  </si>
  <si>
    <t>не проверено</t>
  </si>
  <si>
    <t>проверено</t>
  </si>
  <si>
    <t>ошибка</t>
  </si>
  <si>
    <t>не применимо</t>
  </si>
  <si>
    <t>Вес</t>
  </si>
  <si>
    <t>Результат проверки</t>
  </si>
  <si>
    <t>Уровень качества</t>
  </si>
  <si>
    <t>ТЕХНИЧЕСКОЕ ОПИСАНИЕ ИЗМЕНЕНИЯ</t>
  </si>
  <si>
    <t>КЛАССИФИКАЦИОННАЯ ТАБЛИЦА МОДИФИКАЦИИ ТИПОВОЙ КОНСТРУКЦИИ</t>
  </si>
  <si>
    <t>КЛАССИФИКАЦИОННАЯ ТАБЛИЦА РЕМОНТА ТИПОВОЙ КОНСТРУКЦИИ</t>
  </si>
  <si>
    <t>СЕРТИФИКАЦИОННЫЙ БАЗИС ИЗМЕНЕНИЯ</t>
  </si>
  <si>
    <t>ПРОГРАММА СЕРТИФИКАЦИОННЫХ РАБОТ</t>
  </si>
  <si>
    <t>Протокол</t>
  </si>
  <si>
    <t>СЕРВИСНЫЙ БЮЛЛЕТЕНЬ</t>
  </si>
  <si>
    <t>ИНСТРУКЦИЯ ПО РЕМОНТУ</t>
  </si>
  <si>
    <t>ПЕРЕЧЕНЬ ОСНОВНЫХ ДОКУМЕНТОВ</t>
  </si>
  <si>
    <t>ДОПОЛНЕНИЕ К РУКОВОДСТВУ ПО ТЕХНИЧЕСКОМУ ОБСЛУЖИВАНИЮ</t>
  </si>
  <si>
    <t>ДОПОЛНЕНИЕ К РУКОВОДСТВУ ПО МАССЕ И ЦЕНТРОВКЕ</t>
  </si>
  <si>
    <t>ДОПОЛНЕНИЕ К ИЛЛЮСТРИРОВАННОМУ КАТАЛОГУ ДЕТАЛЕЙ</t>
  </si>
  <si>
    <t>ОДОБРЕНИЕ ВТОРОСТЕПЕННОГО ИЗМЕНЕНИЯ ТИПОВОЙ КОНСТРУКЦИИ</t>
  </si>
  <si>
    <t>Дополнение к руководство по летной эксплуатации самолета</t>
  </si>
  <si>
    <t>Дополнение к руководству по схеме самолета</t>
  </si>
  <si>
    <t>Дополнение к списку проводки самолета</t>
  </si>
  <si>
    <t>Дополнение к руководству по проводке самолета</t>
  </si>
  <si>
    <t>Дополнение к руководству для бортпроводников</t>
  </si>
  <si>
    <t>Дополнение к списку расходных материалов</t>
  </si>
  <si>
    <t>Дополнение к руководству по техническому обслуживанию компонентов для производителя</t>
  </si>
  <si>
    <t>Дополнение к руководству по техническому обслуживанию компонентов для поставщика</t>
  </si>
  <si>
    <t xml:space="preserve">Дополнение к практическому руководству по электрическим стандартам </t>
  </si>
  <si>
    <t>Дополнение к руководству по эксплуатации для летного экипажа</t>
  </si>
  <si>
    <t>Дополнение к документу планирования технического обслуживания</t>
  </si>
  <si>
    <t>Дополнение к отчету комиссии по проверке технического обслуживания</t>
  </si>
  <si>
    <t>Дополнение к руководству по неразрушающему контролю</t>
  </si>
  <si>
    <t>Дополнение к руководству по ремонту конструкции</t>
  </si>
  <si>
    <t>Дополнение к руководству по устранению неполадок</t>
  </si>
  <si>
    <t>Дополнение к руководству по монтажным схемам</t>
  </si>
  <si>
    <t>ТЕХНИЧЕСКОЕ ОБОСНОВАНИЕ</t>
  </si>
  <si>
    <t>№ заявки:</t>
  </si>
  <si>
    <t xml:space="preserve">                                                               Общая информация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</si>
  <si>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</si>
  <si>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</si>
  <si>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</si>
  <si>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</si>
  <si>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</si>
  <si>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</si>
  <si>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</si>
  <si>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</si>
  <si>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</si>
  <si>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</si>
  <si>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</si>
  <si>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</si>
  <si>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</si>
  <si>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</si>
  <si>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</si>
  <si>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</si>
  <si>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</si>
  <si>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</si>
  <si>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</si>
  <si>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</si>
  <si>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</si>
  <si>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</si>
  <si>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</si>
  <si>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</si>
  <si>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</si>
  <si>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</si>
  <si>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</si>
  <si>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</si>
  <si>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</si>
  <si>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</si>
  <si>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</si>
  <si>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</si>
  <si>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</si>
  <si>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</si>
  <si>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</si>
  <si>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</si>
  <si>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</si>
  <si>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</si>
  <si>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</si>
  <si>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</si>
  <si>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</si>
  <si>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</si>
  <si>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</si>
  <si>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</si>
  <si>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</si>
  <si>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</si>
  <si>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</si>
  <si>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</si>
  <si>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</si>
  <si>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</si>
  <si>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</si>
  <si>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</si>
  <si>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</si>
  <si>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</si>
  <si>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</si>
  <si>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</si>
  <si>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</si>
  <si>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</si>
  <si>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</si>
  <si>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</si>
  <si>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</si>
  <si>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</si>
  <si>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</si>
  <si>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</si>
  <si>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</si>
  <si>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</si>
  <si>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</si>
  <si>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</si>
  <si>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</si>
  <si>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</si>
  <si>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</si>
  <si>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</si>
  <si>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</si>
  <si>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</si>
  <si>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</si>
  <si>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</si>
  <si>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</si>
  <si>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</si>
  <si>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</si>
  <si>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</si>
  <si>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</si>
  <si>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</si>
  <si>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</si>
  <si>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</si>
  <si>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</si>
  <si>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</si>
  <si>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</si>
  <si>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</si>
  <si>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</si>
  <si>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</si>
  <si>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</si>
  <si>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</si>
  <si>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</si>
  <si>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</si>
  <si>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</si>
  <si>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</si>
  <si>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</si>
  <si>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</si>
  <si>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</si>
  <si>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</si>
  <si>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</si>
  <si>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</si>
  <si>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</si>
  <si>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</si>
  <si>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</si>
  <si>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</si>
  <si>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</si>
  <si>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</si>
  <si>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</si>
  <si>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</si>
  <si>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</si>
  <si>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</si>
  <si>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</si>
  <si>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</si>
  <si>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</si>
  <si>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</si>
  <si>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</si>
  <si>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</si>
  <si>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</si>
  <si>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</si>
  <si>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</si>
  <si>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</si>
  <si>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</si>
  <si>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</si>
  <si>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</si>
  <si>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</si>
  <si>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</si>
  <si>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</si>
  <si>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</si>
  <si>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</si>
  <si>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</si>
  <si>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</si>
  <si>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</si>
  <si>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</si>
  <si>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</si>
  <si>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</si>
  <si>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</si>
  <si>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</si>
  <si>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</si>
  <si>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</si>
  <si>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</si>
  <si>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</si>
  <si>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</si>
  <si>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</si>
  <si>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</si>
  <si>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</si>
  <si>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</si>
  <si>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</si>
  <si>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</si>
  <si>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</si>
  <si>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</si>
  <si>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</si>
  <si>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</si>
  <si>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</si>
  <si>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</si>
  <si>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</si>
  <si>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</si>
  <si>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</si>
  <si>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</si>
  <si>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</si>
  <si>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</si>
  <si>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</si>
  <si>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</si>
  <si>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</si>
  <si>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</si>
  <si>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</si>
  <si>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</si>
  <si>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</si>
  <si>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</si>
  <si>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</si>
  <si>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</si>
  <si>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</si>
  <si>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</si>
  <si>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</si>
  <si>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</si>
  <si>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</si>
  <si>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</si>
  <si>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</si>
  <si>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</si>
  <si>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</si>
  <si>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</si>
  <si>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</si>
  <si>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</si>
  <si>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</si>
  <si>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</si>
  <si>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</si>
  <si>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</si>
  <si>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</si>
  <si>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</si>
  <si>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</si>
  <si>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</si>
  <si>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</si>
  <si>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</si>
  <si>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</si>
  <si>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</si>
  <si>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</si>
  <si>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</si>
  <si>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</si>
  <si>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</si>
  <si>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</si>
  <si>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</si>
  <si>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</si>
  <si>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</si>
  <si>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</si>
  <si>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</si>
  <si>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</si>
  <si>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</si>
  <si>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</si>
  <si>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</si>
  <si>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</si>
  <si>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</si>
  <si>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</si>
  <si>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</si>
  <si>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</si>
  <si>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</si>
  <si>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</si>
  <si>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</si>
  <si>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</si>
  <si>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</si>
  <si>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</si>
  <si>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</si>
  <si>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</si>
  <si>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</si>
  <si>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</si>
  <si>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</si>
  <si>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</si>
  <si>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</si>
  <si>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</si>
  <si>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</si>
  <si>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</si>
  <si>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</si>
  <si>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</si>
  <si>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</si>
  <si>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</si>
  <si>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</si>
  <si>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</si>
  <si>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</si>
  <si>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</si>
  <si>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</si>
  <si>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</si>
  <si>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</si>
  <si>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</si>
  <si>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</si>
  <si>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</si>
  <si>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</si>
  <si>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</si>
  <si>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</si>
  <si>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</si>
  <si>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</si>
  <si>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</si>
  <si>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</si>
  <si>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</si>
  <si>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</si>
  <si>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</si>
  <si>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</si>
  <si>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</si>
  <si>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</si>
  <si>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</si>
  <si>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</si>
  <si>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</si>
  <si>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</si>
  <si>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</si>
  <si>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</si>
  <si>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</si>
  <si>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</si>
  <si>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</si>
  <si>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</si>
  <si>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</si>
  <si>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</si>
  <si>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</si>
  <si>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</si>
  <si>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</si>
  <si>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</si>
  <si>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</si>
  <si>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</si>
  <si>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</si>
  <si>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</si>
  <si>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</si>
  <si>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</si>
  <si>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</si>
  <si>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</si>
  <si>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</si>
  <si>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</si>
  <si>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</si>
  <si>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</si>
  <si>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</si>
  <si>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</si>
  <si>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</si>
  <si>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</si>
  <si>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</si>
  <si>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</si>
  <si>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</si>
  <si>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</si>
  <si>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</si>
  <si>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</si>
  <si>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</si>
  <si>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</si>
  <si>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</si>
  <si>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</si>
  <si>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</si>
  <si>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</si>
  <si>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</si>
  <si>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</si>
  <si>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</si>
  <si>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</si>
  <si>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</si>
  <si>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</si>
  <si>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</si>
  <si>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</si>
  <si>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</si>
  <si>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</si>
  <si>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</si>
  <si>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</si>
  <si>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</si>
  <si>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</si>
  <si>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</si>
  <si>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</si>
  <si>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</si>
  <si>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</si>
  <si>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</si>
  <si>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</si>
  <si>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</si>
  <si>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</si>
  <si>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</si>
  <si>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</si>
  <si>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</si>
  <si>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</si>
  <si>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</si>
  <si>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</si>
  <si>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</si>
  <si>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</si>
  <si>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</si>
  <si>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</si>
  <si>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</si>
  <si>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</si>
  <si>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</si>
  <si>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</si>
  <si>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</si>
  <si>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</si>
  <si>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</si>
  <si>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</si>
  <si>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</si>
  <si>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</si>
  <si>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</si>
  <si>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</si>
  <si>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</si>
  <si>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</si>
  <si>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</si>
  <si>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</si>
  <si>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</si>
  <si>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</si>
  <si>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</si>
  <si>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</si>
  <si>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</si>
  <si>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</si>
  <si>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</si>
  <si>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</si>
  <si>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</si>
  <si>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</si>
  <si>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</si>
  <si>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</si>
  <si>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</si>
  <si>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</si>
  <si>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</si>
  <si>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</si>
  <si>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</si>
  <si>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</si>
  <si>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</si>
  <si>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</si>
  <si>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Алексина А.</t>
  </si>
  <si>
    <t>Салахетдинова Л.</t>
  </si>
  <si>
    <t>Крючков А.</t>
  </si>
  <si>
    <t>Рыжкина Т.</t>
  </si>
  <si>
    <t>Зуева О.</t>
  </si>
  <si>
    <t>Дата:</t>
  </si>
  <si>
    <t>ID</t>
  </si>
  <si>
    <t>Верный номер Бюллетеня указан в главах 6 и 7  / Верный номер инструкции по ремонту указан в главах 7 и 8</t>
  </si>
  <si>
    <r>
      <t>Рисунки оформлены в соответствии с шаблоном</t>
    </r>
    <r>
      <rPr>
        <i/>
        <sz val="14"/>
        <color theme="1"/>
        <rFont val="Arial"/>
        <family val="2"/>
        <charset val="204"/>
      </rPr>
      <t xml:space="preserve"> </t>
    </r>
    <r>
      <rPr>
        <i/>
        <sz val="14"/>
        <color rgb="FF7030A0"/>
        <rFont val="Arial"/>
        <family val="2"/>
        <charset val="204"/>
      </rPr>
      <t>[направление полета]</t>
    </r>
  </si>
  <si>
    <t>Конструкторская документация</t>
  </si>
  <si>
    <t>005С</t>
  </si>
  <si>
    <t>Требования к изложению текста (орфография и пунктуация; примечания; примеры; повелительное наклонение)</t>
  </si>
  <si>
    <t>Лист регистрации изменений заполнен в соответствии с титульным листом и введенными изменениями</t>
  </si>
  <si>
    <r>
      <t xml:space="preserve">Нормоконтроль прилагаемой КД </t>
    </r>
    <r>
      <rPr>
        <i/>
        <sz val="14"/>
        <color rgb="FF7030A0"/>
        <rFont val="Arial"/>
        <family val="2"/>
        <charset val="204"/>
      </rPr>
      <t>[Проверяется по чек-листу ЕСКД]</t>
    </r>
  </si>
  <si>
    <r>
      <t xml:space="preserve">Текст на английском и русском языках совпадают по смыслу и наполнености </t>
    </r>
    <r>
      <rPr>
        <i/>
        <sz val="14"/>
        <color rgb="FF7030A0"/>
        <rFont val="Arial"/>
        <family val="2"/>
        <charset val="204"/>
      </rPr>
      <t>[для двуязычных документов]</t>
    </r>
  </si>
  <si>
    <r>
      <t xml:space="preserve">Соблюдена единная терминология в документе </t>
    </r>
    <r>
      <rPr>
        <i/>
        <sz val="14"/>
        <color rgb="FF7030A0"/>
        <rFont val="Arial"/>
        <family val="2"/>
        <charset val="204"/>
      </rPr>
      <t>[ВС / АС]</t>
    </r>
  </si>
  <si>
    <t>Содержание обновлено (при наличии)</t>
  </si>
  <si>
    <t xml:space="preserve">Обновление документа сделано (ctrl A + F9) и отсутствуют ошибки </t>
  </si>
  <si>
    <r>
      <t xml:space="preserve">   </t>
    </r>
    <r>
      <rPr>
        <b/>
        <sz val="20"/>
        <color rgb="FF1A1A1A"/>
        <rFont val="Montserrat"/>
        <charset val="204"/>
      </rPr>
      <t xml:space="preserve"> ТРЕБОВАНИЯ К ОФОРМЛЕНИЮ TR и SR</t>
    </r>
  </si>
  <si>
    <t>Структура поставки (названия файлов, их количество, № заявки, код приложения, ревизия) 
в соответствии с требованиями РП</t>
  </si>
  <si>
    <r>
      <t>Ссылки на внешние и внутренние элементы документа актуальны</t>
    </r>
    <r>
      <rPr>
        <i/>
        <sz val="14"/>
        <color rgb="FF7030A0"/>
        <rFont val="Arial"/>
        <family val="2"/>
        <charset val="204"/>
      </rPr>
      <t xml:space="preserve">
[Документы, заголовки, рисунки, таблицы, аббревиатуры и пр.]
[Нет активных ссылок (на внешние ресурсы) и/или вложенных файлов.]</t>
    </r>
  </si>
  <si>
    <t>Верхний колонтитул второго и следующих листов заполнен в соответствии с титульным листом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</si>
</sst>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6"/>
      <color theme="1"/>
      <name val="Arial"/>
      <family val="2"/>
    </font>
    <font>
      <i/>
      <sz val="14"/>
      <color rgb="FF7030A0"/>
      <name val="Arial"/>
      <family val="2"/>
    </font>
    <font>
      <b/>
      <sz val="20"/>
      <color rgb="FF1A1A1A"/>
      <name val="Montserrat"/>
      <charset val="204"/>
    </font>
    <font>
      <sz val="14"/>
      <color rgb="FF1A1A1A"/>
      <name val="Arial"/>
      <family val="2"/>
    </font>
    <font>
      <sz val="14"/>
      <color theme="1"/>
      <name val="Arial"/>
      <family val="2"/>
      <charset val="204"/>
    </font>
    <font>
      <sz val="14"/>
      <name val="Arial"/>
      <family val="2"/>
      <charset val="204"/>
    </font>
    <font>
      <sz val="14"/>
      <color rgb="FF949494"/>
      <name val="Arial"/>
      <family val="2"/>
    </font>
    <font>
      <b/>
      <sz val="14"/>
      <color rgb="FF1A1A1A"/>
      <name val="Montserrat"/>
      <charset val="204"/>
    </font>
    <font>
      <b/>
      <sz val="18"/>
      <color rgb="FF1A1A1A"/>
      <name val="Montserrat"/>
      <charset val="204"/>
    </font>
    <font>
      <i/>
      <sz val="12"/>
      <color rgb="FF949494"/>
      <name val="Arial"/>
      <family val="2"/>
    </font>
    <font>
      <i/>
      <sz val="11"/>
      <color theme="1"/>
      <name val="Arial"/>
      <family val="2"/>
      <charset val="204"/>
    </font>
    <font>
      <i/>
      <sz val="14"/>
      <name val="Arial"/>
      <family val="2"/>
    </font>
    <font>
      <b/>
      <sz val="9"/>
      <color indexed="81"/>
      <name val="Tahoma"/>
      <family val="2"/>
      <charset val="204"/>
    </font>
    <font>
      <i/>
      <sz val="14"/>
      <color rgb="FF1A1A1A"/>
      <name val="Arial"/>
      <family val="2"/>
    </font>
    <font>
      <i/>
      <sz val="14"/>
      <color rgb="FF1A1A1A"/>
      <name val="Arial"/>
      <family val="2"/>
      <charset val="204"/>
    </font>
    <font>
      <sz val="14"/>
      <color rgb="FF1A1A1A"/>
      <name val="Arial"/>
      <family val="2"/>
      <charset val="204"/>
    </font>
    <font>
      <sz val="16"/>
      <color theme="0" tint="-0.14999847407452621"/>
      <name val="Arial"/>
      <family val="2"/>
    </font>
    <font>
      <sz val="11"/>
      <color theme="0" tint="-0.14999847407452621"/>
      <name val="Arial"/>
      <family val="2"/>
    </font>
    <font>
      <b/>
      <sz val="16"/>
      <color rgb="FF1A1A1A"/>
      <name val="Montserrat"/>
      <charset val="204"/>
    </font>
    <font>
      <b/>
      <sz val="16"/>
      <name val="Arial"/>
      <family val="2"/>
      <charset val="204"/>
    </font>
    <font>
      <i/>
      <sz val="14"/>
      <color theme="1"/>
      <name val="Arial"/>
      <family val="2"/>
      <charset val="204"/>
    </font>
    <font>
      <i/>
      <sz val="14"/>
      <color rgb="FF7030A0"/>
      <name val="Arial"/>
      <family val="2"/>
      <charset val="204"/>
    </font>
    <font>
      <sz val="14"/>
      <color theme="0" tint="-0.34998626667073579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7F2A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rgb="FF949494"/>
      </left>
      <right style="thin">
        <color rgb="FF949494"/>
      </right>
      <top style="thin">
        <color rgb="FF949494"/>
      </top>
      <bottom style="thin">
        <color rgb="FF949494"/>
      </bottom>
      <diagonal/>
    </border>
    <border>
      <left style="medium">
        <color rgb="FF949494"/>
      </left>
      <right style="medium">
        <color rgb="FF949494"/>
      </right>
      <top style="medium">
        <color rgb="FF949494"/>
      </top>
      <bottom/>
      <diagonal/>
    </border>
    <border>
      <left/>
      <right/>
      <top style="medium">
        <color rgb="FF949494"/>
      </top>
      <bottom/>
      <diagonal/>
    </border>
    <border>
      <left/>
      <right style="medium">
        <color rgb="FF949494"/>
      </right>
      <top style="medium">
        <color rgb="FF949494"/>
      </top>
      <bottom/>
      <diagonal/>
    </border>
    <border>
      <left style="medium">
        <color rgb="FF949494"/>
      </left>
      <right style="thin">
        <color rgb="FF949494"/>
      </right>
      <top style="thin">
        <color rgb="FF949494"/>
      </top>
      <bottom style="thin">
        <color rgb="FF949494"/>
      </bottom>
      <diagonal/>
    </border>
    <border>
      <left style="thin">
        <color rgb="FF949494"/>
      </left>
      <right style="medium">
        <color rgb="FF949494"/>
      </right>
      <top style="thin">
        <color rgb="FF949494"/>
      </top>
      <bottom style="thin">
        <color rgb="FF949494"/>
      </bottom>
      <diagonal/>
    </border>
    <border>
      <left style="medium">
        <color rgb="FF949494"/>
      </left>
      <right style="thin">
        <color rgb="FF949494"/>
      </right>
      <top style="thin">
        <color rgb="FF949494"/>
      </top>
      <bottom/>
      <diagonal/>
    </border>
    <border>
      <left style="thin">
        <color rgb="FF949494"/>
      </left>
      <right style="thin">
        <color rgb="FF949494"/>
      </right>
      <top style="thin">
        <color rgb="FF949494"/>
      </top>
      <bottom/>
      <diagonal/>
    </border>
    <border>
      <left style="thin">
        <color rgb="FF949494"/>
      </left>
      <right style="medium">
        <color rgb="FF949494"/>
      </right>
      <top style="thin">
        <color rgb="FF949494"/>
      </top>
      <bottom/>
      <diagonal/>
    </border>
    <border>
      <left style="medium">
        <color rgb="FF949494"/>
      </left>
      <right/>
      <top style="thin">
        <color rgb="FF949494"/>
      </top>
      <bottom style="medium">
        <color rgb="FF949494"/>
      </bottom>
      <diagonal/>
    </border>
    <border>
      <left/>
      <right/>
      <top style="thin">
        <color rgb="FF949494"/>
      </top>
      <bottom style="medium">
        <color rgb="FF949494"/>
      </bottom>
      <diagonal/>
    </border>
    <border>
      <left/>
      <right style="medium">
        <color rgb="FF949494"/>
      </right>
      <top style="thin">
        <color rgb="FF949494"/>
      </top>
      <bottom style="medium">
        <color rgb="FF949494"/>
      </bottom>
      <diagonal/>
    </border>
    <border>
      <left style="medium">
        <color rgb="FF949494"/>
      </left>
      <right/>
      <top style="thin">
        <color rgb="FF949494"/>
      </top>
      <bottom style="thin">
        <color rgb="FF949494"/>
      </bottom>
      <diagonal/>
    </border>
    <border>
      <left/>
      <right style="thin">
        <color rgb="FF949494"/>
      </right>
      <top style="thin">
        <color rgb="FF949494"/>
      </top>
      <bottom style="thin">
        <color rgb="FF949494"/>
      </bottom>
      <diagonal/>
    </border>
    <border>
      <left/>
      <right/>
      <top style="thin">
        <color rgb="FF949494"/>
      </top>
      <bottom style="thin">
        <color rgb="FF949494"/>
      </bottom>
      <diagonal/>
    </border>
    <border>
      <left/>
      <right style="medium">
        <color rgb="FF949494"/>
      </right>
      <top style="thin">
        <color rgb="FF949494"/>
      </top>
      <bottom style="thin">
        <color rgb="FF949494"/>
      </bottom>
      <diagonal/>
    </border>
    <border>
      <left style="medium">
        <color rgb="FF949494"/>
      </left>
      <right/>
      <top style="medium">
        <color rgb="FF949494"/>
      </top>
      <bottom style="medium">
        <color rgb="FF949494"/>
      </bottom>
      <diagonal/>
    </border>
    <border>
      <left style="medium">
        <color rgb="FF949494"/>
      </left>
      <right/>
      <top style="medium">
        <color rgb="FF949494"/>
      </top>
      <bottom style="thin">
        <color rgb="FF949494"/>
      </bottom>
      <diagonal/>
    </border>
    <border>
      <left/>
      <right/>
      <top style="medium">
        <color rgb="FF949494"/>
      </top>
      <bottom style="thin">
        <color rgb="FF949494"/>
      </bottom>
      <diagonal/>
    </border>
    <border>
      <left/>
      <right/>
      <top/>
      <bottom style="thin">
        <color rgb="FF949494"/>
      </bottom>
      <diagonal/>
    </border>
    <border>
      <left/>
      <right style="medium">
        <color rgb="FF949494"/>
      </right>
      <top/>
      <bottom style="thin">
        <color rgb="FF949494"/>
      </bottom>
      <diagonal/>
    </border>
    <border>
      <left style="thin">
        <color rgb="FF949494"/>
      </left>
      <right/>
      <top style="thin">
        <color rgb="FF949494"/>
      </top>
      <bottom style="thin">
        <color rgb="FF949494"/>
      </bottom>
      <diagonal/>
    </border>
    <border>
      <left style="thin">
        <color rgb="FF949494"/>
      </left>
      <right/>
      <top style="thin">
        <color rgb="FF949494"/>
      </top>
      <bottom/>
      <diagonal/>
    </border>
    <border>
      <left/>
      <right/>
      <top style="medium">
        <color rgb="FF949494"/>
      </top>
      <bottom style="medium">
        <color rgb="FF949494"/>
      </bottom>
      <diagonal/>
    </border>
    <border>
      <left/>
      <right style="medium">
        <color rgb="FF949494"/>
      </right>
      <top style="medium">
        <color rgb="FF949494"/>
      </top>
      <bottom style="medium">
        <color rgb="FF949494"/>
      </bottom>
      <diagonal/>
    </border>
  </borders>
  <cellStyleXfs count="8">
    <xf numFmtId="0" fontId="0" fillId="0" borderId="0"/>
    <xf numFmtId="0" fontId="2" fillId="0" borderId="0"/>
    <xf numFmtId="0" fontId="3" fillId="0" borderId="0"/>
    <xf numFmtId="0" fontId="1" fillId="0" borderId="0"/>
    <xf numFmtId="0" fontId="4" fillId="0" borderId="0"/>
    <xf numFmtId="0" fontId="2" fillId="0" borderId="0"/>
    <xf numFmtId="0" fontId="3" fillId="0" borderId="0"/>
    <xf numFmtId="0" fontId="1" fillId="0" borderId="0"/>
  </cellStyleXfs>
  <cellXfs count="68">
    <xf numFmtId="0" fontId="0" fillId="0" borderId="0" xfId="0"/>
    <xf numFmtId="0" fontId="0" fillId="0" borderId="0" xfId="0"/>
    <xf numFmtId="0" fontId="0" fillId="0" borderId="0" xfId="0" applyBorder="1"/>
    <xf numFmtId="0" fontId="5" fillId="0" borderId="0" xfId="0" applyFont="1" applyAlignment="1">
      <alignment vertical="center"/>
    </xf>
    <xf numFmtId="0" fontId="0" fillId="0" borderId="0" xfId="0" applyFill="1"/>
    <xf numFmtId="0" fontId="0" fillId="0" borderId="0" xfId="0" applyBorder="1" applyAlignment="1">
      <alignment horizontal="left" wrapText="1"/>
    </xf>
    <xf numFmtId="0" fontId="0" fillId="0" borderId="0" xfId="0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14" fillId="0" borderId="0" xfId="0" applyFont="1" applyBorder="1" applyAlignment="1"/>
    <xf numFmtId="0" fontId="14" fillId="0" borderId="3" xfId="0" applyFont="1" applyBorder="1" applyAlignment="1"/>
    <xf numFmtId="0" fontId="9" fillId="0" borderId="8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16" fillId="0" borderId="6" xfId="0" applyFont="1" applyFill="1" applyBorder="1" applyAlignment="1">
      <alignment horizontal="center" vertical="center"/>
    </xf>
    <xf numFmtId="0" fontId="15" fillId="6" borderId="0" xfId="0" applyFont="1" applyFill="1"/>
    <xf numFmtId="0" fontId="15" fillId="5" borderId="0" xfId="0" applyFont="1" applyFill="1"/>
    <xf numFmtId="0" fontId="15" fillId="4" borderId="0" xfId="0" applyFont="1" applyFill="1"/>
    <xf numFmtId="0" fontId="0" fillId="7" borderId="0" xfId="0" applyFill="1"/>
    <xf numFmtId="0" fontId="15" fillId="7" borderId="0" xfId="0" applyFont="1" applyFill="1"/>
    <xf numFmtId="0" fontId="18" fillId="0" borderId="11" xfId="0" applyFont="1" applyBorder="1" applyAlignment="1"/>
    <xf numFmtId="0" fontId="8" fillId="7" borderId="7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right" vertical="center" wrapText="1"/>
    </xf>
    <xf numFmtId="0" fontId="11" fillId="7" borderId="9" xfId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2" fillId="0" borderId="0" xfId="0" applyFont="1"/>
    <xf numFmtId="9" fontId="22" fillId="0" borderId="0" xfId="0" applyNumberFormat="1" applyFont="1" applyFill="1"/>
    <xf numFmtId="0" fontId="22" fillId="0" borderId="0" xfId="0" applyFont="1" applyFill="1"/>
    <xf numFmtId="9" fontId="22" fillId="0" borderId="0" xfId="0" applyNumberFormat="1" applyFont="1"/>
    <xf numFmtId="9" fontId="6" fillId="0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9" fontId="24" fillId="7" borderId="1" xfId="0" applyNumberFormat="1" applyFont="1" applyFill="1" applyBorder="1" applyAlignment="1">
      <alignment horizontal="center" vertical="center"/>
    </xf>
    <xf numFmtId="0" fontId="20" fillId="0" borderId="10" xfId="0" applyFont="1" applyBorder="1" applyAlignment="1"/>
    <xf numFmtId="14" fontId="18" fillId="0" borderId="12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right" vertical="center"/>
    </xf>
    <xf numFmtId="9" fontId="24" fillId="7" borderId="23" xfId="0" applyNumberFormat="1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/>
    </xf>
    <xf numFmtId="0" fontId="19" fillId="3" borderId="6" xfId="1" applyFont="1" applyFill="1" applyBorder="1" applyAlignment="1">
      <alignment horizontal="center" vertical="center" wrapText="1"/>
    </xf>
    <xf numFmtId="0" fontId="19" fillId="3" borderId="1" xfId="1" applyFont="1" applyFill="1" applyBorder="1" applyAlignment="1">
      <alignment horizontal="center" vertical="center"/>
    </xf>
    <xf numFmtId="0" fontId="19" fillId="3" borderId="22" xfId="1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16" fillId="0" borderId="9" xfId="0" applyFont="1" applyFill="1" applyBorder="1" applyAlignment="1">
      <alignment horizontal="center" vertical="center"/>
    </xf>
    <xf numFmtId="1" fontId="27" fillId="0" borderId="22" xfId="0" applyNumberFormat="1" applyFont="1" applyFill="1" applyBorder="1" applyAlignment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20" fillId="8" borderId="8" xfId="1" applyFont="1" applyFill="1" applyBorder="1" applyAlignment="1">
      <alignment horizontal="left" vertical="center" wrapText="1"/>
    </xf>
    <xf numFmtId="0" fontId="9" fillId="8" borderId="8" xfId="0" applyFont="1" applyFill="1" applyBorder="1" applyAlignment="1">
      <alignment horizontal="left" vertical="center" wrapText="1"/>
    </xf>
    <xf numFmtId="0" fontId="10" fillId="8" borderId="8" xfId="0" applyFont="1" applyFill="1" applyBorder="1" applyAlignment="1">
      <alignment horizontal="left" vertical="center" wrapText="1"/>
    </xf>
    <xf numFmtId="0" fontId="12" fillId="3" borderId="13" xfId="1" applyFont="1" applyFill="1" applyBorder="1" applyAlignment="1">
      <alignment horizontal="center" vertical="center"/>
    </xf>
    <xf numFmtId="0" fontId="12" fillId="3" borderId="15" xfId="1" applyFont="1" applyFill="1" applyBorder="1" applyAlignment="1">
      <alignment horizontal="center" vertical="center"/>
    </xf>
    <xf numFmtId="0" fontId="12" fillId="3" borderId="16" xfId="1" applyFont="1" applyFill="1" applyBorder="1" applyAlignment="1">
      <alignment horizontal="center" vertical="center"/>
    </xf>
    <xf numFmtId="0" fontId="12" fillId="0" borderId="24" xfId="0" applyFont="1" applyFill="1" applyBorder="1" applyAlignment="1">
      <alignment horizontal="center" vertical="center"/>
    </xf>
    <xf numFmtId="0" fontId="12" fillId="0" borderId="25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23" fillId="0" borderId="18" xfId="0" applyFont="1" applyFill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/>
    </xf>
    <xf numFmtId="0" fontId="13" fillId="3" borderId="13" xfId="1" applyFont="1" applyFill="1" applyBorder="1" applyAlignment="1">
      <alignment horizontal="center" vertical="center"/>
    </xf>
    <xf numFmtId="0" fontId="13" fillId="3" borderId="15" xfId="1" applyFont="1" applyFill="1" applyBorder="1" applyAlignment="1">
      <alignment horizontal="center" vertical="center"/>
    </xf>
    <xf numFmtId="0" fontId="13" fillId="3" borderId="20" xfId="1" applyFont="1" applyFill="1" applyBorder="1" applyAlignment="1">
      <alignment horizontal="center" vertical="center"/>
    </xf>
    <xf numFmtId="0" fontId="13" fillId="3" borderId="21" xfId="1" applyFont="1" applyFill="1" applyBorder="1" applyAlignment="1">
      <alignment horizontal="center" vertical="center"/>
    </xf>
    <xf numFmtId="0" fontId="12" fillId="3" borderId="14" xfId="1" applyFont="1" applyFill="1" applyBorder="1" applyAlignment="1">
      <alignment horizontal="center" vertical="center"/>
    </xf>
  </cellXfs>
  <cellStyles count="8">
    <cellStyle name="Normal" xfId="0" builtinId="0"/>
    <cellStyle name="Normal 2" xfId="3" xr:uid="{00000000-0005-0000-0000-000001000000}"/>
    <cellStyle name="Normal 2 2" xfId="5" xr:uid="{00000000-0005-0000-0000-000002000000}"/>
    <cellStyle name="Normal 3" xfId="2" xr:uid="{00000000-0005-0000-0000-000003000000}"/>
    <cellStyle name="Normal 4" xfId="1" xr:uid="{00000000-0005-0000-0000-000004000000}"/>
    <cellStyle name="Normal 4 2" xfId="7" xr:uid="{00000000-0005-0000-0000-000005000000}"/>
    <cellStyle name="Normal 5" xfId="6" xr:uid="{00000000-0005-0000-0000-000006000000}"/>
    <cellStyle name="Standard 3" xfId="4" xr:uid="{00000000-0005-0000-0000-000007000000}"/>
  </cellStyles>
  <dxfs count="16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7F2A"/>
      <color rgb="FFFABF8F"/>
      <color rgb="FF949494"/>
      <color rgb="FF1A1A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435429</xdr:colOff>
      <xdr:row>0</xdr:row>
      <xdr:rowOff>24493</xdr:rowOff>
    </xdr:from>
    <xdr:to>
      <xdr:col>3</xdr:col>
      <xdr:colOff>1081661</xdr:colOff>
      <xdr:row>0</xdr:row>
      <xdr:rowOff>487829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E85AD22-D2B8-46DD-AC67-2CB2EBC9C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36036" y="24493"/>
          <a:ext cx="646232" cy="463336"/>
        </a:xfrm>
        <a:prstGeom prst="rect">
          <a:avLst/>
        </a:prstGeom>
      </xdr:spPr>
    </xdr:pic>
    <xdr:clientData/>
  </xdr:twoCellAnchor>
  <xdr:twoCellAnchor editAs="oneCell">
    <xdr:from>
      <xdr:col>3</xdr:col>
      <xdr:colOff>435429</xdr:colOff>
      <xdr:row>0</xdr:row>
      <xdr:rowOff>24493</xdr:rowOff>
    </xdr:from>
    <xdr:to>
      <xdr:col>3</xdr:col>
      <xdr:colOff>1081661</xdr:colOff>
      <xdr:row>0</xdr:row>
      <xdr:rowOff>487829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2A68A9-684E-4FC1-AD9B-F32252595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31954" y="24493"/>
          <a:ext cx="646232" cy="4633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DC\5_Managemet\00_WTNK\history\2025\PRM\F_CL_TR_SR_005&#1057;_A%20(new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DC\5_Managemet\00_WTNK\history\2025\PRM\F_CL_TR_SR_005&#1057;_A%20(new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RO_TR_А_08.10.2024"/>
      <sheetName val="Input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4CE14-E759-47FE-A1DC-666191B35649}">
  <sheetPr>
    <pageSetUpPr fitToPage="1"/>
  </sheetPr>
  <dimension ref="A1:K31"/>
  <sheetViews>
    <sheetView tabSelected="1" zoomScale="90" zoomScaleNormal="90" zoomScalePageLayoutView="80" workbookViewId="0">
      <selection activeCell="E5" sqref="E5"/>
    </sheetView>
  </sheetViews>
  <sheetFormatPr defaultColWidth="9" defaultRowHeight="13.8" x14ac:dyDescent="0.25"/>
  <cols>
    <col min="1" max="1" width="12.59765625" style="2" bestFit="1" customWidth="1"/>
    <col min="2" max="2" width="107.8984375" style="5" customWidth="1"/>
    <col min="3" max="3" width="14.59765625" style="14" bestFit="1" customWidth="1"/>
    <col min="4" max="4" width="14.59765625" style="14" customWidth="1"/>
    <col min="5" max="5" width="17.8984375" style="6" customWidth="1"/>
    <col min="6" max="6" width="5.5" style="1" bestFit="1" customWidth="1"/>
    <col min="7" max="8" width="6.09765625" style="1" bestFit="1" customWidth="1"/>
    <col min="9" max="16384" width="9" style="1"/>
  </cols>
  <sheetData>
    <row r="1" spans="1:11" s="3" customFormat="1" ht="43.35" customHeight="1" thickBot="1" x14ac:dyDescent="0.3">
      <c r="A1" s="7" t="s">
        <v>432</v>
      </c>
      <c r="B1" s="58" t="s">
        <v>440</v>
      </c>
      <c r="C1" s="59"/>
      <c r="D1" s="59"/>
      <c r="E1" s="60"/>
      <c r="G1" s="28"/>
      <c r="H1" s="28"/>
      <c r="I1" s="28"/>
      <c r="J1" s="28"/>
      <c r="K1" s="28"/>
    </row>
    <row r="2" spans="1:11" s="3" customFormat="1" ht="39.9" customHeight="1" thickBot="1" x14ac:dyDescent="0.3">
      <c r="A2" s="61"/>
      <c r="B2" s="62"/>
      <c r="C2" s="47" t="s">
        <v>51</v>
      </c>
      <c r="D2" s="56"/>
      <c r="E2" s="57"/>
      <c r="G2" s="28"/>
      <c r="H2" s="28"/>
      <c r="I2" s="28"/>
      <c r="J2" s="28"/>
      <c r="K2" s="28"/>
    </row>
    <row r="3" spans="1:11" ht="24.9" customHeight="1" x14ac:dyDescent="0.25">
      <c r="A3" s="63" t="s">
        <v>1</v>
      </c>
      <c r="B3" s="64"/>
      <c r="C3" s="65"/>
      <c r="D3" s="65"/>
      <c r="E3" s="66"/>
      <c r="G3" s="29"/>
      <c r="H3" s="29"/>
      <c r="I3" s="29"/>
      <c r="J3" s="29"/>
      <c r="K3" s="29"/>
    </row>
    <row r="4" spans="1:11" ht="36" x14ac:dyDescent="0.25">
      <c r="A4" s="53" t="s">
        <v>52</v>
      </c>
      <c r="B4" s="67"/>
      <c r="C4" s="42" t="s">
        <v>18</v>
      </c>
      <c r="D4" s="43" t="s">
        <v>428</v>
      </c>
      <c r="E4" s="41" t="s">
        <v>19</v>
      </c>
      <c r="F4" s="32">
        <f>SUM(C6:C14,C16:C22,C25)</f>
        <v>0.93000000000000016</v>
      </c>
      <c r="G4" s="29"/>
      <c r="H4" s="29"/>
      <c r="I4" s="29"/>
      <c r="J4" s="29"/>
      <c r="K4" s="29"/>
    </row>
    <row r="5" spans="1:11" s="4" customFormat="1" ht="18" x14ac:dyDescent="0.25">
      <c r="A5" s="8">
        <v>0</v>
      </c>
      <c r="B5" s="52" t="s">
        <v>439</v>
      </c>
      <c r="C5" s="33">
        <v>0</v>
      </c>
      <c r="D5" s="46">
        <v>836</v>
      </c>
      <c r="E5" s="18" t="s">
        <v>14</v>
      </c>
      <c r="F5" s="31"/>
      <c r="G5" s="30">
        <f>IF(E5=Inputs!$D$5,0,H5)</f>
        <v>0</v>
      </c>
      <c r="H5" s="30">
        <f>IF(E5=Inputs!$D$5,"",C5)</f>
        <v>0</v>
      </c>
      <c r="I5" s="31"/>
      <c r="J5" s="31"/>
      <c r="K5" s="31"/>
    </row>
    <row r="6" spans="1:11" s="4" customFormat="1" ht="18" x14ac:dyDescent="0.25">
      <c r="A6" s="8">
        <v>1</v>
      </c>
      <c r="B6" s="48" t="s">
        <v>9</v>
      </c>
      <c r="C6" s="33">
        <v>0.1</v>
      </c>
      <c r="D6" s="46">
        <v>820</v>
      </c>
      <c r="E6" s="18" t="s">
        <v>14</v>
      </c>
      <c r="F6" s="31"/>
      <c r="G6" s="30">
        <f>IF(E6=Inputs!$D$5,0,H6)</f>
        <v>0.1</v>
      </c>
      <c r="H6" s="30">
        <f>IF(E6=Inputs!$D$5,"",C6)</f>
        <v>0.1</v>
      </c>
      <c r="I6" s="31"/>
      <c r="J6" s="31"/>
      <c r="K6" s="31"/>
    </row>
    <row r="7" spans="1:11" s="4" customFormat="1" ht="34.799999999999997" x14ac:dyDescent="0.25">
      <c r="A7" s="8">
        <v>2</v>
      </c>
      <c r="B7" s="48" t="s">
        <v>441</v>
      </c>
      <c r="C7" s="33">
        <v>7.0000000000000007E-2</v>
      </c>
      <c r="D7" s="46">
        <v>821</v>
      </c>
      <c r="E7" s="18" t="s">
        <v>14</v>
      </c>
      <c r="F7" s="31"/>
      <c r="G7" s="30">
        <f>IF(E7=Inputs!$D$5,0,H7)</f>
        <v>7.0000000000000007E-2</v>
      </c>
      <c r="H7" s="30">
        <f>IF(E7=Inputs!$D$5,"",C7)</f>
        <v>7.0000000000000007E-2</v>
      </c>
      <c r="I7" s="31"/>
      <c r="J7" s="31"/>
      <c r="K7" s="31"/>
    </row>
    <row r="8" spans="1:11" s="4" customFormat="1" ht="18" x14ac:dyDescent="0.25">
      <c r="A8" s="8">
        <v>3</v>
      </c>
      <c r="B8" s="49" t="s">
        <v>5</v>
      </c>
      <c r="C8" s="33">
        <v>0.01</v>
      </c>
      <c r="D8" s="46">
        <v>822</v>
      </c>
      <c r="E8" s="18" t="s">
        <v>14</v>
      </c>
      <c r="F8" s="31"/>
      <c r="G8" s="30">
        <f>IF(E8=Inputs!$D$5,0,H8)</f>
        <v>0.01</v>
      </c>
      <c r="H8" s="30">
        <f>IF(E8=Inputs!$D$5,"",C8)</f>
        <v>0.01</v>
      </c>
      <c r="I8" s="31"/>
      <c r="J8" s="31"/>
      <c r="K8" s="31"/>
    </row>
    <row r="9" spans="1:11" s="4" customFormat="1" ht="18" x14ac:dyDescent="0.25">
      <c r="A9" s="8">
        <v>4</v>
      </c>
      <c r="B9" s="50" t="s">
        <v>443</v>
      </c>
      <c r="C9" s="33">
        <v>0.06</v>
      </c>
      <c r="D9" s="46">
        <v>823</v>
      </c>
      <c r="E9" s="18" t="s">
        <v>14</v>
      </c>
      <c r="F9" s="31"/>
      <c r="G9" s="30">
        <f>IF(E9=Inputs!$D$5,0,H9)</f>
        <v>0.06</v>
      </c>
      <c r="H9" s="30">
        <f>IF(E9=Inputs!$D$5,"",C9)</f>
        <v>0.06</v>
      </c>
      <c r="I9" s="31"/>
      <c r="J9" s="31"/>
      <c r="K9" s="31"/>
    </row>
    <row r="10" spans="1:11" s="4" customFormat="1" ht="18" x14ac:dyDescent="0.25">
      <c r="A10" s="8">
        <v>5</v>
      </c>
      <c r="B10" s="51" t="s">
        <v>438</v>
      </c>
      <c r="C10" s="33">
        <v>0.01</v>
      </c>
      <c r="D10" s="46">
        <v>824</v>
      </c>
      <c r="E10" s="18" t="s">
        <v>14</v>
      </c>
      <c r="F10" s="31"/>
      <c r="G10" s="30">
        <f>IF(E10=Inputs!$D$5,0,H10)</f>
        <v>0.01</v>
      </c>
      <c r="H10" s="30">
        <f>IF(E10=Inputs!$D$5,"",C10)</f>
        <v>0.01</v>
      </c>
      <c r="I10" s="31"/>
      <c r="J10" s="31"/>
      <c r="K10" s="31"/>
    </row>
    <row r="11" spans="1:11" s="4" customFormat="1" ht="34.799999999999997" x14ac:dyDescent="0.25">
      <c r="A11" s="8">
        <v>6</v>
      </c>
      <c r="B11" s="51" t="s">
        <v>3</v>
      </c>
      <c r="C11" s="33">
        <v>0.06</v>
      </c>
      <c r="D11" s="46">
        <v>825</v>
      </c>
      <c r="E11" s="18" t="s">
        <v>14</v>
      </c>
      <c r="F11" s="31"/>
      <c r="G11" s="30">
        <f>IF(E11=Inputs!$D$5,0,H11)</f>
        <v>0.06</v>
      </c>
      <c r="H11" s="30">
        <f>IF(E11=Inputs!$D$5,"",C11)</f>
        <v>0.06</v>
      </c>
      <c r="I11" s="31"/>
      <c r="J11" s="31"/>
      <c r="K11" s="31"/>
    </row>
    <row r="12" spans="1:11" s="4" customFormat="1" ht="34.799999999999997" hidden="1" x14ac:dyDescent="0.25">
      <c r="A12" s="8">
        <v>7</v>
      </c>
      <c r="B12" s="51" t="s">
        <v>429</v>
      </c>
      <c r="C12" s="33">
        <v>0.06</v>
      </c>
      <c r="D12" s="46">
        <v>826</v>
      </c>
      <c r="E12" s="18" t="s">
        <v>17</v>
      </c>
      <c r="F12" s="31"/>
      <c r="G12" s="30">
        <f>IF(E12=Inputs!$D$5,0,H12)</f>
        <v>0.06</v>
      </c>
      <c r="H12" s="30">
        <f>IF(E12=Inputs!$D$5,"",C12)</f>
        <v>0.06</v>
      </c>
      <c r="I12" s="31"/>
      <c r="J12" s="31"/>
      <c r="K12" s="31"/>
    </row>
    <row r="13" spans="1:11" s="4" customFormat="1" ht="18" x14ac:dyDescent="0.25">
      <c r="A13" s="8">
        <v>7</v>
      </c>
      <c r="B13" s="51" t="s">
        <v>6</v>
      </c>
      <c r="C13" s="33">
        <v>0.06</v>
      </c>
      <c r="D13" s="46">
        <v>827</v>
      </c>
      <c r="E13" s="18" t="s">
        <v>14</v>
      </c>
      <c r="F13" s="31"/>
      <c r="G13" s="30">
        <f>IF(E13=Inputs!$D$5,0,H13)</f>
        <v>0.06</v>
      </c>
      <c r="H13" s="30">
        <f>IF(E13=Inputs!$D$5,"",C13)</f>
        <v>0.06</v>
      </c>
      <c r="I13" s="31"/>
      <c r="J13" s="31"/>
      <c r="K13" s="31"/>
    </row>
    <row r="14" spans="1:11" s="4" customFormat="1" ht="34.799999999999997" x14ac:dyDescent="0.25">
      <c r="A14" s="8">
        <v>8</v>
      </c>
      <c r="B14" s="51" t="s">
        <v>434</v>
      </c>
      <c r="C14" s="33">
        <v>0.06</v>
      </c>
      <c r="D14" s="46">
        <v>828</v>
      </c>
      <c r="E14" s="18" t="s">
        <v>14</v>
      </c>
      <c r="F14" s="31"/>
      <c r="G14" s="30">
        <f>IF(E14=Inputs!$D$5,0,H14)</f>
        <v>0.06</v>
      </c>
      <c r="H14" s="30">
        <f>IF(E14=Inputs!$D$5,"",C14)</f>
        <v>0.06</v>
      </c>
      <c r="I14" s="31"/>
      <c r="J14" s="31"/>
      <c r="K14" s="31"/>
    </row>
    <row r="15" spans="1:11" ht="20.100000000000001" customHeight="1" x14ac:dyDescent="0.25">
      <c r="A15" s="53" t="s">
        <v>7</v>
      </c>
      <c r="B15" s="54"/>
      <c r="C15" s="54"/>
      <c r="D15" s="54"/>
      <c r="E15" s="55"/>
      <c r="F15" s="29"/>
      <c r="G15" s="30">
        <f>IF(E15=Inputs!$D$5,0,H15)</f>
        <v>0</v>
      </c>
      <c r="H15" s="30">
        <f>IF(E15=Inputs!$D$5,"",C15)</f>
        <v>0</v>
      </c>
      <c r="I15" s="29"/>
      <c r="J15" s="29"/>
      <c r="K15" s="29"/>
    </row>
    <row r="16" spans="1:11" s="4" customFormat="1" ht="18" x14ac:dyDescent="0.25">
      <c r="A16" s="8">
        <v>9</v>
      </c>
      <c r="B16" s="48" t="s">
        <v>2</v>
      </c>
      <c r="C16" s="33">
        <v>7.0000000000000007E-2</v>
      </c>
      <c r="D16" s="46">
        <v>829</v>
      </c>
      <c r="E16" s="18" t="s">
        <v>14</v>
      </c>
      <c r="F16" s="31"/>
      <c r="G16" s="30">
        <f>IF(E16=Inputs!$D$5,0,H16)</f>
        <v>7.0000000000000007E-2</v>
      </c>
      <c r="H16" s="30">
        <f>IF(E16=Inputs!$D$5,"",C16)</f>
        <v>7.0000000000000007E-2</v>
      </c>
      <c r="I16" s="31"/>
      <c r="J16" s="31"/>
      <c r="K16" s="31"/>
    </row>
    <row r="17" spans="1:11" s="4" customFormat="1" ht="18" x14ac:dyDescent="0.25">
      <c r="A17" s="8">
        <v>10</v>
      </c>
      <c r="B17" s="48" t="s">
        <v>430</v>
      </c>
      <c r="C17" s="33">
        <v>7.0000000000000007E-2</v>
      </c>
      <c r="D17" s="46">
        <v>830</v>
      </c>
      <c r="E17" s="18" t="s">
        <v>14</v>
      </c>
      <c r="F17" s="31"/>
      <c r="G17" s="30">
        <f>IF(E17=Inputs!$D$5,0,H17)</f>
        <v>7.0000000000000007E-2</v>
      </c>
      <c r="H17" s="30">
        <f>IF(E17=Inputs!$D$5,"",C17)</f>
        <v>7.0000000000000007E-2</v>
      </c>
      <c r="I17" s="31"/>
      <c r="J17" s="31"/>
      <c r="K17" s="31"/>
    </row>
    <row r="18" spans="1:11" s="4" customFormat="1" ht="63.75" customHeight="1" x14ac:dyDescent="0.25">
      <c r="A18" s="8">
        <v>11</v>
      </c>
      <c r="B18" s="48" t="s">
        <v>442</v>
      </c>
      <c r="C18" s="33">
        <v>0.1</v>
      </c>
      <c r="D18" s="46">
        <v>831</v>
      </c>
      <c r="E18" s="18" t="s">
        <v>14</v>
      </c>
      <c r="F18" s="31"/>
      <c r="G18" s="30">
        <f>IF(E18=Inputs!$D$5,0,H18)</f>
        <v>0.1</v>
      </c>
      <c r="H18" s="30">
        <f>IF(E18=Inputs!$D$5,"",C18)</f>
        <v>0.1</v>
      </c>
      <c r="I18" s="31"/>
      <c r="J18" s="31"/>
      <c r="K18" s="31"/>
    </row>
    <row r="19" spans="1:11" s="4" customFormat="1" ht="42.75" customHeight="1" x14ac:dyDescent="0.25">
      <c r="A19" s="8">
        <v>12</v>
      </c>
      <c r="B19" s="51" t="s">
        <v>437</v>
      </c>
      <c r="C19" s="33">
        <v>7.0000000000000007E-2</v>
      </c>
      <c r="D19" s="46">
        <v>834</v>
      </c>
      <c r="E19" s="18" t="s">
        <v>14</v>
      </c>
      <c r="F19" s="31"/>
      <c r="G19" s="30">
        <f>IF(E19=Inputs!$D$5,0,H19)</f>
        <v>7.0000000000000007E-2</v>
      </c>
      <c r="H19" s="30">
        <f>IF(E19=Inputs!$D$5,"",C19)</f>
        <v>7.0000000000000007E-2</v>
      </c>
      <c r="I19" s="31"/>
      <c r="J19" s="31"/>
      <c r="K19" s="31"/>
    </row>
    <row r="20" spans="1:11" s="4" customFormat="1" ht="18" x14ac:dyDescent="0.25">
      <c r="A20" s="8">
        <v>13</v>
      </c>
      <c r="B20" s="51" t="s">
        <v>4</v>
      </c>
      <c r="C20" s="33">
        <v>0.06</v>
      </c>
      <c r="D20" s="46">
        <v>832</v>
      </c>
      <c r="E20" s="18" t="s">
        <v>14</v>
      </c>
      <c r="F20" s="31"/>
      <c r="G20" s="30">
        <f>IF(E20=Inputs!$D$5,0,H20)</f>
        <v>0.06</v>
      </c>
      <c r="H20" s="30">
        <f>IF(E20=Inputs!$D$5,"",C20)</f>
        <v>0.06</v>
      </c>
      <c r="I20" s="31"/>
      <c r="J20" s="31"/>
      <c r="K20" s="31"/>
    </row>
    <row r="21" spans="1:11" s="4" customFormat="1" ht="18" x14ac:dyDescent="0.25">
      <c r="A21" s="8">
        <v>14</v>
      </c>
      <c r="B21" s="51" t="s">
        <v>8</v>
      </c>
      <c r="C21" s="33">
        <v>0.06</v>
      </c>
      <c r="D21" s="46">
        <v>833</v>
      </c>
      <c r="E21" s="18" t="s">
        <v>14</v>
      </c>
      <c r="F21" s="31"/>
      <c r="G21" s="30">
        <f>IF(E21=Inputs!$D$5,0,H21)</f>
        <v>0.06</v>
      </c>
      <c r="H21" s="30">
        <f>IF(E21=Inputs!$D$5,"",C21)</f>
        <v>0.06</v>
      </c>
      <c r="I21" s="31"/>
      <c r="J21" s="31"/>
      <c r="K21" s="31"/>
    </row>
    <row r="22" spans="1:11" s="4" customFormat="1" ht="34.799999999999997" x14ac:dyDescent="0.25">
      <c r="A22" s="8">
        <v>15</v>
      </c>
      <c r="B22" s="51" t="s">
        <v>433</v>
      </c>
      <c r="C22" s="33">
        <v>0.01</v>
      </c>
      <c r="D22" s="46">
        <v>834</v>
      </c>
      <c r="E22" s="18" t="s">
        <v>14</v>
      </c>
      <c r="F22" s="31"/>
      <c r="G22" s="30">
        <f>IF(E22=Inputs!$D$5,0,H22)</f>
        <v>0.01</v>
      </c>
      <c r="H22" s="30">
        <f>IF(E22=Inputs!$D$5,"",C22)</f>
        <v>0.01</v>
      </c>
      <c r="I22" s="31"/>
      <c r="J22" s="31"/>
      <c r="K22" s="31"/>
    </row>
    <row r="23" spans="1:11" s="4" customFormat="1" ht="36" hidden="1" x14ac:dyDescent="0.25">
      <c r="A23" s="8">
        <v>17</v>
      </c>
      <c r="B23" s="11" t="s">
        <v>436</v>
      </c>
      <c r="C23" s="33">
        <v>7.0000000000000007E-2</v>
      </c>
      <c r="D23" s="46">
        <v>834</v>
      </c>
      <c r="E23" s="18" t="s">
        <v>17</v>
      </c>
      <c r="F23" s="31"/>
      <c r="G23" s="30">
        <f>IF(E23=Inputs!$D$5,0,H23)</f>
        <v>7.0000000000000007E-2</v>
      </c>
      <c r="H23" s="30">
        <f>IF(E23=Inputs!$D$5,"",C23)</f>
        <v>7.0000000000000007E-2</v>
      </c>
      <c r="I23" s="31"/>
      <c r="J23" s="31"/>
      <c r="K23" s="31"/>
    </row>
    <row r="24" spans="1:11" s="4" customFormat="1" ht="21.6" x14ac:dyDescent="0.25">
      <c r="A24" s="53" t="s">
        <v>431</v>
      </c>
      <c r="B24" s="54"/>
      <c r="C24" s="54"/>
      <c r="D24" s="54"/>
      <c r="E24" s="55"/>
      <c r="F24" s="31"/>
      <c r="G24" s="30">
        <f>IF(E24=Inputs!$D$5,0,H24)</f>
        <v>0</v>
      </c>
      <c r="H24" s="30">
        <f>IF(E24=Inputs!$D$5,"",C24)</f>
        <v>0</v>
      </c>
      <c r="I24" s="31"/>
      <c r="J24" s="31"/>
      <c r="K24" s="31"/>
    </row>
    <row r="25" spans="1:11" s="4" customFormat="1" ht="18" x14ac:dyDescent="0.25">
      <c r="A25" s="44">
        <v>16</v>
      </c>
      <c r="B25" s="51" t="s">
        <v>435</v>
      </c>
      <c r="C25" s="33">
        <v>0</v>
      </c>
      <c r="D25" s="46">
        <v>835</v>
      </c>
      <c r="E25" s="45" t="s">
        <v>14</v>
      </c>
      <c r="F25" s="31"/>
      <c r="G25" s="30">
        <f>IF(E25=Inputs!$D$5,0,H25)</f>
        <v>0</v>
      </c>
      <c r="H25" s="30">
        <f>IF(E25=Inputs!$D$5,"",C25)</f>
        <v>0</v>
      </c>
      <c r="I25" s="31"/>
      <c r="J25" s="31"/>
      <c r="K25" s="31"/>
    </row>
    <row r="26" spans="1:11" ht="21" x14ac:dyDescent="0.25">
      <c r="A26" s="25"/>
      <c r="B26" s="26" t="s">
        <v>20</v>
      </c>
      <c r="C26" s="35">
        <f>G27</f>
        <v>1.0000000000000002</v>
      </c>
      <c r="D26" s="39"/>
      <c r="E26" s="27"/>
      <c r="F26" s="29"/>
      <c r="G26" s="32"/>
      <c r="H26" s="32"/>
      <c r="I26" s="29"/>
      <c r="J26" s="29"/>
      <c r="K26" s="29"/>
    </row>
    <row r="27" spans="1:11" ht="30" customHeight="1" thickBot="1" x14ac:dyDescent="0.4">
      <c r="A27" s="36" t="s">
        <v>0</v>
      </c>
      <c r="B27" s="24"/>
      <c r="C27" s="38" t="s">
        <v>427</v>
      </c>
      <c r="D27" s="38"/>
      <c r="E27" s="37"/>
      <c r="F27" s="29"/>
      <c r="G27" s="32">
        <f>SUM(G5:G26)</f>
        <v>1.0000000000000002</v>
      </c>
      <c r="H27" s="32">
        <f>SUM(H5:H26)</f>
        <v>1.0000000000000002</v>
      </c>
      <c r="I27" s="29"/>
      <c r="J27" s="29"/>
      <c r="K27" s="29"/>
    </row>
    <row r="28" spans="1:11" ht="27.75" customHeight="1" x14ac:dyDescent="0.3">
      <c r="A28" s="9"/>
      <c r="B28" s="10"/>
      <c r="C28" s="12"/>
      <c r="D28" s="40"/>
      <c r="E28" s="9"/>
      <c r="G28" s="29"/>
      <c r="H28" s="29"/>
      <c r="I28" s="32"/>
      <c r="J28" s="29"/>
      <c r="K28" s="32"/>
    </row>
    <row r="31" spans="1:11" s="6" customFormat="1" x14ac:dyDescent="0.25">
      <c r="A31" s="2"/>
      <c r="B31" s="5"/>
      <c r="C31" s="13"/>
      <c r="D31" s="13"/>
      <c r="F31" s="1"/>
      <c r="G31" s="1"/>
      <c r="H31" s="1"/>
      <c r="I31" s="1"/>
      <c r="J31" s="1"/>
      <c r="K31" s="1"/>
    </row>
  </sheetData>
  <mergeCells count="7">
    <mergeCell ref="A24:E24"/>
    <mergeCell ref="D2:E2"/>
    <mergeCell ref="B1:E1"/>
    <mergeCell ref="A2:B2"/>
    <mergeCell ref="A3:E3"/>
    <mergeCell ref="A4:B4"/>
    <mergeCell ref="A15:E15"/>
  </mergeCells>
  <conditionalFormatting sqref="I28">
    <cfRule type="cellIs" dxfId="15" priority="13" operator="greaterThan">
      <formula>100%</formula>
    </cfRule>
  </conditionalFormatting>
  <conditionalFormatting sqref="F4">
    <cfRule type="cellIs" dxfId="14" priority="11" operator="greaterThan">
      <formula>1</formula>
    </cfRule>
    <cfRule type="cellIs" dxfId="13" priority="12" operator="greaterThan">
      <formula>100%</formula>
    </cfRule>
  </conditionalFormatting>
  <conditionalFormatting sqref="C26">
    <cfRule type="cellIs" dxfId="12" priority="10" operator="lessThan">
      <formula>1</formula>
    </cfRule>
  </conditionalFormatting>
  <pageMargins left="0.25" right="0.25" top="0.75" bottom="0.75" header="0.3" footer="0.3"/>
  <pageSetup paperSize="9" scale="60" orientation="portrait" r:id="rId1"/>
  <headerFooter>
    <oddFooter>&amp;L&amp;"Arial,курсив"&amp;K949494Крючков А.&amp;C&amp;K949494© АО «ИЦ ИКАР», 2025. Все права защищены. Конфиденциально, собственность АО «Инженерный центр ИКАР»&amp;R&amp;"Arial,курсив"&amp;K949494Ревизия B  &amp;D</oddFoot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4" operator="equal" id="{F7AC1072-469D-4BE9-93A4-0DBDE54CE992}">
            <xm:f>Inputs!$D$6</xm:f>
            <x14:dxf>
              <fill>
                <patternFill>
                  <bgColor theme="0" tint="-0.24994659260841701"/>
                </patternFill>
              </fill>
            </x14:dxf>
          </x14:cfRule>
          <x14:cfRule type="cellIs" priority="15" operator="equal" id="{A5FAF90E-EDB3-4B90-B872-CCD549458D13}">
            <xm:f>Inputs!$D$5</xm:f>
            <x14:dxf>
              <fill>
                <patternFill>
                  <bgColor rgb="FFFF0000"/>
                </patternFill>
              </fill>
            </x14:dxf>
          </x14:cfRule>
          <xm:sqref>E25 E16:E18 E6:E14 E20:E22</xm:sqref>
        </x14:conditionalFormatting>
        <x14:conditionalFormatting xmlns:xm="http://schemas.microsoft.com/office/excel/2006/main">
          <x14:cfRule type="cellIs" priority="16" operator="equal" id="{2D485DC5-3686-46B1-AE54-E3CE5E46A435}">
            <xm:f>Inputs!$D$4</xm:f>
            <x14:dxf>
              <fill>
                <patternFill>
                  <bgColor rgb="FF00B050"/>
                </patternFill>
              </fill>
            </x14:dxf>
          </x14:cfRule>
          <xm:sqref>E25 E16:E18 E6:E14 E20:E22</xm:sqref>
        </x14:conditionalFormatting>
        <x14:conditionalFormatting xmlns:xm="http://schemas.microsoft.com/office/excel/2006/main">
          <x14:cfRule type="cellIs" priority="7" operator="equal" id="{851C018F-BC4B-43EE-B83A-A883D69EE089}">
            <xm:f>Inputs!$D$6</xm:f>
            <x14:dxf>
              <fill>
                <patternFill>
                  <bgColor theme="0" tint="-0.24994659260841701"/>
                </patternFill>
              </fill>
            </x14:dxf>
          </x14:cfRule>
          <x14:cfRule type="cellIs" priority="8" operator="equal" id="{88304D7E-C681-41D1-BA79-91F6B55215FE}">
            <xm:f>Inputs!$D$5</xm:f>
            <x14:dxf>
              <fill>
                <patternFill>
                  <bgColor rgb="FFFF0000"/>
                </patternFill>
              </fill>
            </x14:dxf>
          </x14:cfRule>
          <xm:sqref>E23</xm:sqref>
        </x14:conditionalFormatting>
        <x14:conditionalFormatting xmlns:xm="http://schemas.microsoft.com/office/excel/2006/main">
          <x14:cfRule type="cellIs" priority="9" operator="equal" id="{F875BD8B-835D-4762-949F-5BB2192F4420}">
            <xm:f>Inputs!$D$4</xm:f>
            <x14:dxf>
              <fill>
                <patternFill>
                  <bgColor rgb="FF00B050"/>
                </patternFill>
              </fill>
            </x14:dxf>
          </x14:cfRule>
          <xm:sqref>E23</xm:sqref>
        </x14:conditionalFormatting>
        <x14:conditionalFormatting xmlns:xm="http://schemas.microsoft.com/office/excel/2006/main">
          <x14:cfRule type="cellIs" priority="4" operator="equal" id="{D71AABFB-7219-4449-8834-041CF4626F70}">
            <xm:f>'C:\DDC\5_Managemet\00_WTNK\history\2025\PRM\[F_CL_TR_SR_005С_A (new).xlsx]Inputs'!#REF!</xm:f>
            <x14:dxf>
              <fill>
                <patternFill>
                  <bgColor theme="0" tint="-0.24994659260841701"/>
                </patternFill>
              </fill>
            </x14:dxf>
          </x14:cfRule>
          <x14:cfRule type="cellIs" priority="5" operator="equal" id="{723F997B-8598-4640-9AE6-7EABCF35EBFE}">
            <xm:f>'C:\DDC\5_Managemet\00_WTNK\history\2025\PRM\[F_CL_TR_SR_005С_A (new).xlsx]Inputs'!#REF!</xm:f>
            <x14:dxf>
              <fill>
                <patternFill>
                  <bgColor rgb="FFFF0000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ellIs" priority="6" operator="equal" id="{02BED6E0-5F12-41FA-AADB-1F880D06205F}">
            <xm:f>'C:\DDC\5_Managemet\00_WTNK\history\2025\PRM\[F_CL_TR_SR_005С_A (new).xlsx]Inputs'!#REF!</xm:f>
            <x14:dxf>
              <fill>
                <patternFill>
                  <bgColor rgb="FF00B050"/>
                </patternFill>
              </fill>
            </x14:dxf>
          </x14:cfRule>
          <xm:sqref>E5</xm:sqref>
        </x14:conditionalFormatting>
        <x14:conditionalFormatting xmlns:xm="http://schemas.microsoft.com/office/excel/2006/main">
          <x14:cfRule type="cellIs" priority="1" operator="equal" id="{05F5CD9A-79A7-4916-82B4-9EF7109701D2}">
            <xm:f>Inputs!$D$6</xm:f>
            <x14:dxf>
              <fill>
                <patternFill>
                  <bgColor theme="0" tint="-0.24994659260841701"/>
                </patternFill>
              </fill>
            </x14:dxf>
          </x14:cfRule>
          <x14:cfRule type="cellIs" priority="2" operator="equal" id="{BF2A6775-CEEA-425E-88DA-DCFE2789E9F9}">
            <xm:f>Inputs!$D$5</xm:f>
            <x14:dxf>
              <fill>
                <patternFill>
                  <bgColor rgb="FFFF0000"/>
                </patternFill>
              </fill>
            </x14:dxf>
          </x14:cfRule>
          <xm:sqref>E19</xm:sqref>
        </x14:conditionalFormatting>
        <x14:conditionalFormatting xmlns:xm="http://schemas.microsoft.com/office/excel/2006/main">
          <x14:cfRule type="cellIs" priority="3" operator="equal" id="{89452F92-FDE0-4BF6-A62A-11A9CDA236B0}">
            <xm:f>Inputs!$D$4</xm:f>
            <x14:dxf>
              <fill>
                <patternFill>
                  <bgColor rgb="FF00B050"/>
                </patternFill>
              </fill>
            </x14:dxf>
          </x14:cfRule>
          <xm:sqref>E19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876C7E0-7B92-4CE7-901E-174F067AE69E}">
          <x14:formula1>
            <xm:f>Inputs!$F$3:$F$12</xm:f>
          </x14:formula1>
          <xm:sqref>B27</xm:sqref>
        </x14:dataValidation>
        <x14:dataValidation type="list" allowBlank="1" showInputMessage="1" showErrorMessage="1" xr:uid="{BB6A6FCF-8D17-46E3-B7A9-B2D5AE71191E}">
          <x14:formula1>
            <xm:f>Inputs!$D$3:$D$6</xm:f>
          </x14:formula1>
          <xm:sqref>E6:E14 E16:E25</xm:sqref>
        </x14:dataValidation>
        <x14:dataValidation type="list" allowBlank="1" showInputMessage="1" showErrorMessage="1" xr:uid="{B084F874-1735-4134-A10D-DCB8FBA054FB}">
          <x14:formula1>
            <xm:f>Inputs!$G$3:$G$32</xm:f>
          </x14:formula1>
          <xm:sqref>A2:B2</xm:sqref>
        </x14:dataValidation>
        <x14:dataValidation type="list" allowBlank="1" showInputMessage="1" showErrorMessage="1" xr:uid="{60873FDA-5CAA-4BCA-B333-F5AEA20E3D8F}">
          <x14:formula1>
            <xm:f>'S:\DDC\5_Managemet\00_WTNK\history\2025\PRM\[F_CL_TR_SR_005С_A (new).xlsx]Inputs'!#REF!</xm:f>
          </x14:formula1>
          <xm:sqref>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03544-CB70-4A6B-A967-8AC815937706}">
  <dimension ref="B1:G369"/>
  <sheetViews>
    <sheetView workbookViewId="0">
      <selection activeCell="G38" sqref="G38"/>
    </sheetView>
  </sheetViews>
  <sheetFormatPr defaultRowHeight="13.8" x14ac:dyDescent="0.25"/>
  <cols>
    <col min="2" max="3" width="18.3984375" bestFit="1" customWidth="1"/>
    <col min="4" max="4" width="13.5" bestFit="1" customWidth="1"/>
    <col min="5" max="5" width="13" style="13" bestFit="1" customWidth="1"/>
    <col min="6" max="6" width="21.59765625" customWidth="1"/>
    <col min="7" max="7" width="132.3984375" bestFit="1" customWidth="1"/>
  </cols>
  <sheetData>
    <row r="1" spans="2:7" x14ac:dyDescent="0.25">
      <c r="E1" s="34" t="s">
        <v>53</v>
      </c>
    </row>
    <row r="2" spans="2:7" x14ac:dyDescent="0.25">
      <c r="E2" s="34" t="s">
        <v>54</v>
      </c>
    </row>
    <row r="3" spans="2:7" ht="14.4" x14ac:dyDescent="0.3">
      <c r="B3" s="17" t="s">
        <v>10</v>
      </c>
      <c r="C3" s="17"/>
      <c r="D3" s="19" t="s">
        <v>14</v>
      </c>
      <c r="E3" s="34" t="s">
        <v>55</v>
      </c>
      <c r="F3" t="s">
        <v>422</v>
      </c>
      <c r="G3" t="s">
        <v>21</v>
      </c>
    </row>
    <row r="4" spans="2:7" ht="14.4" x14ac:dyDescent="0.3">
      <c r="B4" s="16" t="s">
        <v>11</v>
      </c>
      <c r="C4" s="16"/>
      <c r="D4" s="20" t="s">
        <v>15</v>
      </c>
      <c r="E4" s="34" t="s">
        <v>56</v>
      </c>
      <c r="F4" t="s">
        <v>426</v>
      </c>
      <c r="G4" t="s">
        <v>27</v>
      </c>
    </row>
    <row r="5" spans="2:7" ht="14.4" x14ac:dyDescent="0.3">
      <c r="B5" s="15" t="s">
        <v>12</v>
      </c>
      <c r="C5" s="15"/>
      <c r="D5" s="21" t="s">
        <v>16</v>
      </c>
      <c r="E5" s="34" t="s">
        <v>57</v>
      </c>
      <c r="F5" t="s">
        <v>424</v>
      </c>
      <c r="G5" t="s">
        <v>28</v>
      </c>
    </row>
    <row r="6" spans="2:7" ht="14.4" x14ac:dyDescent="0.3">
      <c r="B6" s="22" t="s">
        <v>13</v>
      </c>
      <c r="C6" s="22"/>
      <c r="D6" s="23" t="s">
        <v>17</v>
      </c>
      <c r="E6" s="34" t="s">
        <v>58</v>
      </c>
      <c r="F6" t="s">
        <v>425</v>
      </c>
      <c r="G6" t="s">
        <v>29</v>
      </c>
    </row>
    <row r="7" spans="2:7" x14ac:dyDescent="0.25">
      <c r="E7" s="34" t="s">
        <v>59</v>
      </c>
      <c r="F7" t="s">
        <v>423</v>
      </c>
      <c r="G7" t="s">
        <v>30</v>
      </c>
    </row>
    <row r="8" spans="2:7" x14ac:dyDescent="0.25">
      <c r="E8" s="34" t="s">
        <v>60</v>
      </c>
      <c r="G8" t="s">
        <v>31</v>
      </c>
    </row>
    <row r="9" spans="2:7" x14ac:dyDescent="0.25">
      <c r="E9" s="34" t="s">
        <v>61</v>
      </c>
      <c r="G9" t="s">
        <v>32</v>
      </c>
    </row>
    <row r="10" spans="2:7" x14ac:dyDescent="0.25">
      <c r="E10" s="34" t="s">
        <v>62</v>
      </c>
      <c r="G10" t="s">
        <v>33</v>
      </c>
    </row>
    <row r="11" spans="2:7" x14ac:dyDescent="0.25">
      <c r="E11" s="34" t="s">
        <v>63</v>
      </c>
      <c r="G11" t="s">
        <v>22</v>
      </c>
    </row>
    <row r="12" spans="2:7" x14ac:dyDescent="0.25">
      <c r="E12" s="34" t="s">
        <v>64</v>
      </c>
      <c r="G12" t="s">
        <v>23</v>
      </c>
    </row>
    <row r="13" spans="2:7" x14ac:dyDescent="0.25">
      <c r="E13" s="34" t="s">
        <v>65</v>
      </c>
      <c r="G13" t="s">
        <v>24</v>
      </c>
    </row>
    <row r="14" spans="2:7" x14ac:dyDescent="0.25">
      <c r="E14" s="34" t="s">
        <v>66</v>
      </c>
      <c r="G14" t="s">
        <v>25</v>
      </c>
    </row>
    <row r="15" spans="2:7" s="1" customFormat="1" x14ac:dyDescent="0.25">
      <c r="E15" s="34" t="s">
        <v>67</v>
      </c>
      <c r="G15" s="1" t="s">
        <v>50</v>
      </c>
    </row>
    <row r="16" spans="2:7" x14ac:dyDescent="0.25">
      <c r="E16" s="34" t="s">
        <v>68</v>
      </c>
      <c r="G16" t="s">
        <v>44</v>
      </c>
    </row>
    <row r="17" spans="5:7" x14ac:dyDescent="0.25">
      <c r="E17" s="34" t="s">
        <v>69</v>
      </c>
      <c r="G17" t="s">
        <v>45</v>
      </c>
    </row>
    <row r="18" spans="5:7" x14ac:dyDescent="0.25">
      <c r="E18" s="34" t="s">
        <v>70</v>
      </c>
      <c r="G18" t="s">
        <v>42</v>
      </c>
    </row>
    <row r="19" spans="5:7" x14ac:dyDescent="0.25">
      <c r="E19" s="34" t="s">
        <v>71</v>
      </c>
      <c r="G19" t="s">
        <v>34</v>
      </c>
    </row>
    <row r="20" spans="5:7" x14ac:dyDescent="0.25">
      <c r="E20" s="34" t="s">
        <v>72</v>
      </c>
      <c r="G20" t="s">
        <v>38</v>
      </c>
    </row>
    <row r="21" spans="5:7" x14ac:dyDescent="0.25">
      <c r="E21" s="34" t="s">
        <v>73</v>
      </c>
      <c r="G21" t="s">
        <v>49</v>
      </c>
    </row>
    <row r="22" spans="5:7" x14ac:dyDescent="0.25">
      <c r="E22" s="34" t="s">
        <v>74</v>
      </c>
      <c r="G22" t="s">
        <v>46</v>
      </c>
    </row>
    <row r="23" spans="5:7" x14ac:dyDescent="0.25">
      <c r="E23" s="34" t="s">
        <v>75</v>
      </c>
      <c r="G23" t="s">
        <v>37</v>
      </c>
    </row>
    <row r="24" spans="5:7" x14ac:dyDescent="0.25">
      <c r="E24" s="34" t="s">
        <v>76</v>
      </c>
      <c r="G24" t="s">
        <v>47</v>
      </c>
    </row>
    <row r="25" spans="5:7" x14ac:dyDescent="0.25">
      <c r="E25" s="34" t="s">
        <v>77</v>
      </c>
      <c r="G25" t="s">
        <v>35</v>
      </c>
    </row>
    <row r="26" spans="5:7" x14ac:dyDescent="0.25">
      <c r="E26" s="34" t="s">
        <v>78</v>
      </c>
      <c r="G26" t="s">
        <v>41</v>
      </c>
    </row>
    <row r="27" spans="5:7" x14ac:dyDescent="0.25">
      <c r="E27" s="34" t="s">
        <v>79</v>
      </c>
      <c r="G27" t="s">
        <v>40</v>
      </c>
    </row>
    <row r="28" spans="5:7" x14ac:dyDescent="0.25">
      <c r="E28" s="34" t="s">
        <v>80</v>
      </c>
      <c r="G28" t="s">
        <v>48</v>
      </c>
    </row>
    <row r="29" spans="5:7" x14ac:dyDescent="0.25">
      <c r="E29" s="34" t="s">
        <v>81</v>
      </c>
      <c r="G29" t="s">
        <v>43</v>
      </c>
    </row>
    <row r="30" spans="5:7" x14ac:dyDescent="0.25">
      <c r="E30" s="34" t="s">
        <v>82</v>
      </c>
      <c r="G30" t="s">
        <v>36</v>
      </c>
    </row>
    <row r="31" spans="5:7" x14ac:dyDescent="0.25">
      <c r="E31" s="34" t="s">
        <v>83</v>
      </c>
      <c r="G31" t="s">
        <v>39</v>
      </c>
    </row>
    <row r="32" spans="5:7" x14ac:dyDescent="0.25">
      <c r="E32" s="34" t="s">
        <v>84</v>
      </c>
      <c r="G32" t="s">
        <v>26</v>
      </c>
    </row>
    <row r="33" spans="5:5" x14ac:dyDescent="0.25">
      <c r="E33" s="34" t="s">
        <v>85</v>
      </c>
    </row>
    <row r="34" spans="5:5" x14ac:dyDescent="0.25">
      <c r="E34" s="34" t="s">
        <v>86</v>
      </c>
    </row>
    <row r="35" spans="5:5" x14ac:dyDescent="0.25">
      <c r="E35" s="34" t="s">
        <v>87</v>
      </c>
    </row>
    <row r="36" spans="5:5" x14ac:dyDescent="0.25">
      <c r="E36" s="34" t="s">
        <v>88</v>
      </c>
    </row>
    <row r="37" spans="5:5" x14ac:dyDescent="0.25">
      <c r="E37" s="34" t="s">
        <v>89</v>
      </c>
    </row>
    <row r="38" spans="5:5" x14ac:dyDescent="0.25">
      <c r="E38" s="34" t="s">
        <v>90</v>
      </c>
    </row>
    <row r="39" spans="5:5" x14ac:dyDescent="0.25">
      <c r="E39" s="34" t="s">
        <v>91</v>
      </c>
    </row>
    <row r="40" spans="5:5" x14ac:dyDescent="0.25">
      <c r="E40" s="34" t="s">
        <v>92</v>
      </c>
    </row>
    <row r="41" spans="5:5" x14ac:dyDescent="0.25">
      <c r="E41" s="34" t="s">
        <v>93</v>
      </c>
    </row>
    <row r="42" spans="5:5" x14ac:dyDescent="0.25">
      <c r="E42" s="34" t="s">
        <v>94</v>
      </c>
    </row>
    <row r="43" spans="5:5" x14ac:dyDescent="0.25">
      <c r="E43" s="34" t="s">
        <v>95</v>
      </c>
    </row>
    <row r="44" spans="5:5" x14ac:dyDescent="0.25">
      <c r="E44" s="34" t="s">
        <v>96</v>
      </c>
    </row>
    <row r="45" spans="5:5" x14ac:dyDescent="0.25">
      <c r="E45" s="34" t="s">
        <v>97</v>
      </c>
    </row>
    <row r="46" spans="5:5" x14ac:dyDescent="0.25">
      <c r="E46" s="34" t="s">
        <v>98</v>
      </c>
    </row>
    <row r="47" spans="5:5" x14ac:dyDescent="0.25">
      <c r="E47" s="34" t="s">
        <v>99</v>
      </c>
    </row>
    <row r="48" spans="5:5" x14ac:dyDescent="0.25">
      <c r="E48" s="34" t="s">
        <v>100</v>
      </c>
    </row>
    <row r="49" spans="5:5" x14ac:dyDescent="0.25">
      <c r="E49" s="34" t="s">
        <v>101</v>
      </c>
    </row>
    <row r="50" spans="5:5" x14ac:dyDescent="0.25">
      <c r="E50" s="34" t="s">
        <v>102</v>
      </c>
    </row>
    <row r="51" spans="5:5" x14ac:dyDescent="0.25">
      <c r="E51" s="34" t="s">
        <v>103</v>
      </c>
    </row>
    <row r="52" spans="5:5" x14ac:dyDescent="0.25">
      <c r="E52" s="34" t="s">
        <v>104</v>
      </c>
    </row>
    <row r="53" spans="5:5" x14ac:dyDescent="0.25">
      <c r="E53" s="34" t="s">
        <v>105</v>
      </c>
    </row>
    <row r="54" spans="5:5" x14ac:dyDescent="0.25">
      <c r="E54" s="34" t="s">
        <v>106</v>
      </c>
    </row>
    <row r="55" spans="5:5" x14ac:dyDescent="0.25">
      <c r="E55" s="34" t="s">
        <v>107</v>
      </c>
    </row>
    <row r="56" spans="5:5" x14ac:dyDescent="0.25">
      <c r="E56" s="34" t="s">
        <v>108</v>
      </c>
    </row>
    <row r="57" spans="5:5" x14ac:dyDescent="0.25">
      <c r="E57" s="34" t="s">
        <v>109</v>
      </c>
    </row>
    <row r="58" spans="5:5" x14ac:dyDescent="0.25">
      <c r="E58" s="34" t="s">
        <v>110</v>
      </c>
    </row>
    <row r="59" spans="5:5" x14ac:dyDescent="0.25">
      <c r="E59" s="34" t="s">
        <v>111</v>
      </c>
    </row>
    <row r="60" spans="5:5" x14ac:dyDescent="0.25">
      <c r="E60" s="34" t="s">
        <v>112</v>
      </c>
    </row>
    <row r="61" spans="5:5" x14ac:dyDescent="0.25">
      <c r="E61" s="34" t="s">
        <v>113</v>
      </c>
    </row>
    <row r="62" spans="5:5" x14ac:dyDescent="0.25">
      <c r="E62" s="34" t="s">
        <v>114</v>
      </c>
    </row>
    <row r="63" spans="5:5" x14ac:dyDescent="0.25">
      <c r="E63" s="34" t="s">
        <v>115</v>
      </c>
    </row>
    <row r="64" spans="5:5" x14ac:dyDescent="0.25">
      <c r="E64" s="34" t="s">
        <v>116</v>
      </c>
    </row>
    <row r="65" spans="5:5" x14ac:dyDescent="0.25">
      <c r="E65" s="34" t="s">
        <v>117</v>
      </c>
    </row>
    <row r="66" spans="5:5" x14ac:dyDescent="0.25">
      <c r="E66" s="34" t="s">
        <v>118</v>
      </c>
    </row>
    <row r="67" spans="5:5" x14ac:dyDescent="0.25">
      <c r="E67" s="34" t="s">
        <v>119</v>
      </c>
    </row>
    <row r="68" spans="5:5" x14ac:dyDescent="0.25">
      <c r="E68" s="34" t="s">
        <v>120</v>
      </c>
    </row>
    <row r="69" spans="5:5" x14ac:dyDescent="0.25">
      <c r="E69" s="34" t="s">
        <v>121</v>
      </c>
    </row>
    <row r="70" spans="5:5" x14ac:dyDescent="0.25">
      <c r="E70" s="34" t="s">
        <v>122</v>
      </c>
    </row>
    <row r="71" spans="5:5" x14ac:dyDescent="0.25">
      <c r="E71" s="34" t="s">
        <v>123</v>
      </c>
    </row>
    <row r="72" spans="5:5" x14ac:dyDescent="0.25">
      <c r="E72" s="34" t="s">
        <v>124</v>
      </c>
    </row>
    <row r="73" spans="5:5" x14ac:dyDescent="0.25">
      <c r="E73" s="34" t="s">
        <v>125</v>
      </c>
    </row>
    <row r="74" spans="5:5" x14ac:dyDescent="0.25">
      <c r="E74" s="34" t="s">
        <v>126</v>
      </c>
    </row>
    <row r="75" spans="5:5" x14ac:dyDescent="0.25">
      <c r="E75" s="34" t="s">
        <v>127</v>
      </c>
    </row>
    <row r="76" spans="5:5" x14ac:dyDescent="0.25">
      <c r="E76" s="34" t="s">
        <v>128</v>
      </c>
    </row>
    <row r="77" spans="5:5" x14ac:dyDescent="0.25">
      <c r="E77" s="34" t="s">
        <v>129</v>
      </c>
    </row>
    <row r="78" spans="5:5" x14ac:dyDescent="0.25">
      <c r="E78" s="34" t="s">
        <v>130</v>
      </c>
    </row>
    <row r="79" spans="5:5" x14ac:dyDescent="0.25">
      <c r="E79" s="34" t="s">
        <v>131</v>
      </c>
    </row>
    <row r="80" spans="5:5" x14ac:dyDescent="0.25">
      <c r="E80" s="34" t="s">
        <v>132</v>
      </c>
    </row>
    <row r="81" spans="5:5" x14ac:dyDescent="0.25">
      <c r="E81" s="34" t="s">
        <v>133</v>
      </c>
    </row>
    <row r="82" spans="5:5" x14ac:dyDescent="0.25">
      <c r="E82" s="34" t="s">
        <v>134</v>
      </c>
    </row>
    <row r="83" spans="5:5" x14ac:dyDescent="0.25">
      <c r="E83" s="34" t="s">
        <v>135</v>
      </c>
    </row>
    <row r="84" spans="5:5" x14ac:dyDescent="0.25">
      <c r="E84" s="34" t="s">
        <v>136</v>
      </c>
    </row>
    <row r="85" spans="5:5" x14ac:dyDescent="0.25">
      <c r="E85" s="34" t="s">
        <v>137</v>
      </c>
    </row>
    <row r="86" spans="5:5" x14ac:dyDescent="0.25">
      <c r="E86" s="34" t="s">
        <v>138</v>
      </c>
    </row>
    <row r="87" spans="5:5" x14ac:dyDescent="0.25">
      <c r="E87" s="34" t="s">
        <v>139</v>
      </c>
    </row>
    <row r="88" spans="5:5" x14ac:dyDescent="0.25">
      <c r="E88" s="34" t="s">
        <v>140</v>
      </c>
    </row>
    <row r="89" spans="5:5" x14ac:dyDescent="0.25">
      <c r="E89" s="34" t="s">
        <v>141</v>
      </c>
    </row>
    <row r="90" spans="5:5" x14ac:dyDescent="0.25">
      <c r="E90" s="34" t="s">
        <v>142</v>
      </c>
    </row>
    <row r="91" spans="5:5" x14ac:dyDescent="0.25">
      <c r="E91" s="34" t="s">
        <v>143</v>
      </c>
    </row>
    <row r="92" spans="5:5" x14ac:dyDescent="0.25">
      <c r="E92" s="34" t="s">
        <v>144</v>
      </c>
    </row>
    <row r="93" spans="5:5" x14ac:dyDescent="0.25">
      <c r="E93" s="34" t="s">
        <v>145</v>
      </c>
    </row>
    <row r="94" spans="5:5" x14ac:dyDescent="0.25">
      <c r="E94" s="34" t="s">
        <v>146</v>
      </c>
    </row>
    <row r="95" spans="5:5" x14ac:dyDescent="0.25">
      <c r="E95" s="34" t="s">
        <v>147</v>
      </c>
    </row>
    <row r="96" spans="5:5" x14ac:dyDescent="0.25">
      <c r="E96" s="34" t="s">
        <v>148</v>
      </c>
    </row>
    <row r="97" spans="5:5" x14ac:dyDescent="0.25">
      <c r="E97" s="34" t="s">
        <v>149</v>
      </c>
    </row>
    <row r="98" spans="5:5" x14ac:dyDescent="0.25">
      <c r="E98" s="34" t="s">
        <v>150</v>
      </c>
    </row>
    <row r="99" spans="5:5" x14ac:dyDescent="0.25">
      <c r="E99" s="34" t="s">
        <v>151</v>
      </c>
    </row>
    <row r="100" spans="5:5" x14ac:dyDescent="0.25">
      <c r="E100" s="34" t="s">
        <v>152</v>
      </c>
    </row>
    <row r="101" spans="5:5" x14ac:dyDescent="0.25">
      <c r="E101" s="34" t="s">
        <v>153</v>
      </c>
    </row>
    <row r="102" spans="5:5" x14ac:dyDescent="0.25">
      <c r="E102" s="34" t="s">
        <v>154</v>
      </c>
    </row>
    <row r="103" spans="5:5" x14ac:dyDescent="0.25">
      <c r="E103" s="34" t="s">
        <v>155</v>
      </c>
    </row>
    <row r="104" spans="5:5" x14ac:dyDescent="0.25">
      <c r="E104" s="34" t="s">
        <v>156</v>
      </c>
    </row>
    <row r="105" spans="5:5" x14ac:dyDescent="0.25">
      <c r="E105" s="34" t="s">
        <v>157</v>
      </c>
    </row>
    <row r="106" spans="5:5" x14ac:dyDescent="0.25">
      <c r="E106" s="34" t="s">
        <v>158</v>
      </c>
    </row>
    <row r="107" spans="5:5" x14ac:dyDescent="0.25">
      <c r="E107" s="34" t="s">
        <v>159</v>
      </c>
    </row>
    <row r="108" spans="5:5" x14ac:dyDescent="0.25">
      <c r="E108" s="34" t="s">
        <v>160</v>
      </c>
    </row>
    <row r="109" spans="5:5" x14ac:dyDescent="0.25">
      <c r="E109" s="34" t="s">
        <v>161</v>
      </c>
    </row>
    <row r="110" spans="5:5" x14ac:dyDescent="0.25">
      <c r="E110" s="34" t="s">
        <v>162</v>
      </c>
    </row>
    <row r="111" spans="5:5" x14ac:dyDescent="0.25">
      <c r="E111" s="34" t="s">
        <v>163</v>
      </c>
    </row>
    <row r="112" spans="5:5" x14ac:dyDescent="0.25">
      <c r="E112" s="34" t="s">
        <v>164</v>
      </c>
    </row>
    <row r="113" spans="5:5" x14ac:dyDescent="0.25">
      <c r="E113" s="34" t="s">
        <v>165</v>
      </c>
    </row>
    <row r="114" spans="5:5" x14ac:dyDescent="0.25">
      <c r="E114" s="34" t="s">
        <v>166</v>
      </c>
    </row>
    <row r="115" spans="5:5" x14ac:dyDescent="0.25">
      <c r="E115" s="34" t="s">
        <v>167</v>
      </c>
    </row>
    <row r="116" spans="5:5" x14ac:dyDescent="0.25">
      <c r="E116" s="34" t="s">
        <v>168</v>
      </c>
    </row>
    <row r="117" spans="5:5" x14ac:dyDescent="0.25">
      <c r="E117" s="34" t="s">
        <v>169</v>
      </c>
    </row>
    <row r="118" spans="5:5" x14ac:dyDescent="0.25">
      <c r="E118" s="34" t="s">
        <v>170</v>
      </c>
    </row>
    <row r="119" spans="5:5" x14ac:dyDescent="0.25">
      <c r="E119" s="34" t="s">
        <v>171</v>
      </c>
    </row>
    <row r="120" spans="5:5" x14ac:dyDescent="0.25">
      <c r="E120" s="34" t="s">
        <v>172</v>
      </c>
    </row>
    <row r="121" spans="5:5" x14ac:dyDescent="0.25">
      <c r="E121" s="34" t="s">
        <v>173</v>
      </c>
    </row>
    <row r="122" spans="5:5" x14ac:dyDescent="0.25">
      <c r="E122" s="34" t="s">
        <v>174</v>
      </c>
    </row>
    <row r="123" spans="5:5" x14ac:dyDescent="0.25">
      <c r="E123" s="34" t="s">
        <v>175</v>
      </c>
    </row>
    <row r="124" spans="5:5" x14ac:dyDescent="0.25">
      <c r="E124" s="34" t="s">
        <v>176</v>
      </c>
    </row>
    <row r="125" spans="5:5" x14ac:dyDescent="0.25">
      <c r="E125" s="34" t="s">
        <v>177</v>
      </c>
    </row>
    <row r="126" spans="5:5" x14ac:dyDescent="0.25">
      <c r="E126" s="34" t="s">
        <v>178</v>
      </c>
    </row>
    <row r="127" spans="5:5" x14ac:dyDescent="0.25">
      <c r="E127" s="34" t="s">
        <v>179</v>
      </c>
    </row>
    <row r="128" spans="5:5" x14ac:dyDescent="0.25">
      <c r="E128" s="34" t="s">
        <v>180</v>
      </c>
    </row>
    <row r="129" spans="5:5" x14ac:dyDescent="0.25">
      <c r="E129" s="34" t="s">
        <v>181</v>
      </c>
    </row>
    <row r="130" spans="5:5" x14ac:dyDescent="0.25">
      <c r="E130" s="34" t="s">
        <v>182</v>
      </c>
    </row>
    <row r="131" spans="5:5" x14ac:dyDescent="0.25">
      <c r="E131" s="34" t="s">
        <v>183</v>
      </c>
    </row>
    <row r="132" spans="5:5" x14ac:dyDescent="0.25">
      <c r="E132" s="34" t="s">
        <v>184</v>
      </c>
    </row>
    <row r="133" spans="5:5" x14ac:dyDescent="0.25">
      <c r="E133" s="34" t="s">
        <v>185</v>
      </c>
    </row>
    <row r="134" spans="5:5" x14ac:dyDescent="0.25">
      <c r="E134" s="34" t="s">
        <v>186</v>
      </c>
    </row>
    <row r="135" spans="5:5" x14ac:dyDescent="0.25">
      <c r="E135" s="34" t="s">
        <v>187</v>
      </c>
    </row>
    <row r="136" spans="5:5" x14ac:dyDescent="0.25">
      <c r="E136" s="34" t="s">
        <v>188</v>
      </c>
    </row>
    <row r="137" spans="5:5" x14ac:dyDescent="0.25">
      <c r="E137" s="34" t="s">
        <v>189</v>
      </c>
    </row>
    <row r="138" spans="5:5" x14ac:dyDescent="0.25">
      <c r="E138" s="34" t="s">
        <v>190</v>
      </c>
    </row>
    <row r="139" spans="5:5" x14ac:dyDescent="0.25">
      <c r="E139" s="34" t="s">
        <v>191</v>
      </c>
    </row>
    <row r="140" spans="5:5" x14ac:dyDescent="0.25">
      <c r="E140" s="34" t="s">
        <v>192</v>
      </c>
    </row>
    <row r="141" spans="5:5" x14ac:dyDescent="0.25">
      <c r="E141" s="34" t="s">
        <v>193</v>
      </c>
    </row>
    <row r="142" spans="5:5" x14ac:dyDescent="0.25">
      <c r="E142" s="34" t="s">
        <v>194</v>
      </c>
    </row>
    <row r="143" spans="5:5" x14ac:dyDescent="0.25">
      <c r="E143" s="34" t="s">
        <v>195</v>
      </c>
    </row>
    <row r="144" spans="5:5" x14ac:dyDescent="0.25">
      <c r="E144" s="34" t="s">
        <v>196</v>
      </c>
    </row>
    <row r="145" spans="5:5" x14ac:dyDescent="0.25">
      <c r="E145" s="34" t="s">
        <v>197</v>
      </c>
    </row>
    <row r="146" spans="5:5" x14ac:dyDescent="0.25">
      <c r="E146" s="34" t="s">
        <v>198</v>
      </c>
    </row>
    <row r="147" spans="5:5" x14ac:dyDescent="0.25">
      <c r="E147" s="34" t="s">
        <v>199</v>
      </c>
    </row>
    <row r="148" spans="5:5" x14ac:dyDescent="0.25">
      <c r="E148" s="34" t="s">
        <v>200</v>
      </c>
    </row>
    <row r="149" spans="5:5" x14ac:dyDescent="0.25">
      <c r="E149" s="34" t="s">
        <v>201</v>
      </c>
    </row>
    <row r="150" spans="5:5" x14ac:dyDescent="0.25">
      <c r="E150" s="34" t="s">
        <v>202</v>
      </c>
    </row>
    <row r="151" spans="5:5" x14ac:dyDescent="0.25">
      <c r="E151" s="34" t="s">
        <v>203</v>
      </c>
    </row>
    <row r="152" spans="5:5" x14ac:dyDescent="0.25">
      <c r="E152" s="34" t="s">
        <v>204</v>
      </c>
    </row>
    <row r="153" spans="5:5" x14ac:dyDescent="0.25">
      <c r="E153" s="34" t="s">
        <v>205</v>
      </c>
    </row>
    <row r="154" spans="5:5" x14ac:dyDescent="0.25">
      <c r="E154" s="34" t="s">
        <v>206</v>
      </c>
    </row>
    <row r="155" spans="5:5" x14ac:dyDescent="0.25">
      <c r="E155" s="34" t="s">
        <v>207</v>
      </c>
    </row>
    <row r="156" spans="5:5" x14ac:dyDescent="0.25">
      <c r="E156" s="34" t="s">
        <v>208</v>
      </c>
    </row>
    <row r="157" spans="5:5" x14ac:dyDescent="0.25">
      <c r="E157" s="34" t="s">
        <v>209</v>
      </c>
    </row>
    <row r="158" spans="5:5" x14ac:dyDescent="0.25">
      <c r="E158" s="34" t="s">
        <v>210</v>
      </c>
    </row>
    <row r="159" spans="5:5" x14ac:dyDescent="0.25">
      <c r="E159" s="34" t="s">
        <v>211</v>
      </c>
    </row>
    <row r="160" spans="5:5" x14ac:dyDescent="0.25">
      <c r="E160" s="34" t="s">
        <v>212</v>
      </c>
    </row>
    <row r="161" spans="5:5" x14ac:dyDescent="0.25">
      <c r="E161" s="34" t="s">
        <v>213</v>
      </c>
    </row>
    <row r="162" spans="5:5" x14ac:dyDescent="0.25">
      <c r="E162" s="34" t="s">
        <v>214</v>
      </c>
    </row>
    <row r="163" spans="5:5" x14ac:dyDescent="0.25">
      <c r="E163" s="34" t="s">
        <v>215</v>
      </c>
    </row>
    <row r="164" spans="5:5" x14ac:dyDescent="0.25">
      <c r="E164" s="34" t="s">
        <v>216</v>
      </c>
    </row>
    <row r="165" spans="5:5" x14ac:dyDescent="0.25">
      <c r="E165" s="34" t="s">
        <v>217</v>
      </c>
    </row>
    <row r="166" spans="5:5" x14ac:dyDescent="0.25">
      <c r="E166" s="34" t="s">
        <v>218</v>
      </c>
    </row>
    <row r="167" spans="5:5" x14ac:dyDescent="0.25">
      <c r="E167" s="34" t="s">
        <v>219</v>
      </c>
    </row>
    <row r="168" spans="5:5" x14ac:dyDescent="0.25">
      <c r="E168" s="34" t="s">
        <v>220</v>
      </c>
    </row>
    <row r="169" spans="5:5" x14ac:dyDescent="0.25">
      <c r="E169" s="34" t="s">
        <v>221</v>
      </c>
    </row>
    <row r="170" spans="5:5" x14ac:dyDescent="0.25">
      <c r="E170" s="34" t="s">
        <v>222</v>
      </c>
    </row>
    <row r="171" spans="5:5" x14ac:dyDescent="0.25">
      <c r="E171" s="34" t="s">
        <v>223</v>
      </c>
    </row>
    <row r="172" spans="5:5" x14ac:dyDescent="0.25">
      <c r="E172" s="34" t="s">
        <v>224</v>
      </c>
    </row>
    <row r="173" spans="5:5" x14ac:dyDescent="0.25">
      <c r="E173" s="34" t="s">
        <v>225</v>
      </c>
    </row>
    <row r="174" spans="5:5" x14ac:dyDescent="0.25">
      <c r="E174" s="34" t="s">
        <v>226</v>
      </c>
    </row>
    <row r="175" spans="5:5" x14ac:dyDescent="0.25">
      <c r="E175" s="34" t="s">
        <v>227</v>
      </c>
    </row>
    <row r="176" spans="5:5" x14ac:dyDescent="0.25">
      <c r="E176" s="34" t="s">
        <v>228</v>
      </c>
    </row>
    <row r="177" spans="5:5" x14ac:dyDescent="0.25">
      <c r="E177" s="34" t="s">
        <v>229</v>
      </c>
    </row>
    <row r="178" spans="5:5" x14ac:dyDescent="0.25">
      <c r="E178" s="34" t="s">
        <v>230</v>
      </c>
    </row>
    <row r="179" spans="5:5" x14ac:dyDescent="0.25">
      <c r="E179" s="34" t="s">
        <v>231</v>
      </c>
    </row>
    <row r="180" spans="5:5" x14ac:dyDescent="0.25">
      <c r="E180" s="34" t="s">
        <v>232</v>
      </c>
    </row>
    <row r="181" spans="5:5" x14ac:dyDescent="0.25">
      <c r="E181" s="34" t="s">
        <v>233</v>
      </c>
    </row>
    <row r="182" spans="5:5" x14ac:dyDescent="0.25">
      <c r="E182" s="34" t="s">
        <v>234</v>
      </c>
    </row>
    <row r="183" spans="5:5" x14ac:dyDescent="0.25">
      <c r="E183" s="34" t="s">
        <v>235</v>
      </c>
    </row>
    <row r="184" spans="5:5" x14ac:dyDescent="0.25">
      <c r="E184" s="34" t="s">
        <v>236</v>
      </c>
    </row>
    <row r="185" spans="5:5" x14ac:dyDescent="0.25">
      <c r="E185" s="34" t="s">
        <v>237</v>
      </c>
    </row>
    <row r="186" spans="5:5" x14ac:dyDescent="0.25">
      <c r="E186" s="34" t="s">
        <v>238</v>
      </c>
    </row>
    <row r="187" spans="5:5" x14ac:dyDescent="0.25">
      <c r="E187" s="34" t="s">
        <v>239</v>
      </c>
    </row>
    <row r="188" spans="5:5" x14ac:dyDescent="0.25">
      <c r="E188" s="34" t="s">
        <v>240</v>
      </c>
    </row>
    <row r="189" spans="5:5" x14ac:dyDescent="0.25">
      <c r="E189" s="34" t="s">
        <v>241</v>
      </c>
    </row>
    <row r="190" spans="5:5" x14ac:dyDescent="0.25">
      <c r="E190" s="34" t="s">
        <v>242</v>
      </c>
    </row>
    <row r="191" spans="5:5" x14ac:dyDescent="0.25">
      <c r="E191" s="34" t="s">
        <v>243</v>
      </c>
    </row>
    <row r="192" spans="5:5" x14ac:dyDescent="0.25">
      <c r="E192" s="34" t="s">
        <v>244</v>
      </c>
    </row>
    <row r="193" spans="5:5" x14ac:dyDescent="0.25">
      <c r="E193" s="34" t="s">
        <v>245</v>
      </c>
    </row>
    <row r="194" spans="5:5" x14ac:dyDescent="0.25">
      <c r="E194" s="34" t="s">
        <v>246</v>
      </c>
    </row>
    <row r="195" spans="5:5" x14ac:dyDescent="0.25">
      <c r="E195" s="34" t="s">
        <v>247</v>
      </c>
    </row>
    <row r="196" spans="5:5" x14ac:dyDescent="0.25">
      <c r="E196" s="34" t="s">
        <v>248</v>
      </c>
    </row>
    <row r="197" spans="5:5" x14ac:dyDescent="0.25">
      <c r="E197" s="34" t="s">
        <v>249</v>
      </c>
    </row>
    <row r="198" spans="5:5" x14ac:dyDescent="0.25">
      <c r="E198" s="34" t="s">
        <v>250</v>
      </c>
    </row>
    <row r="199" spans="5:5" x14ac:dyDescent="0.25">
      <c r="E199" s="34" t="s">
        <v>251</v>
      </c>
    </row>
    <row r="200" spans="5:5" x14ac:dyDescent="0.25">
      <c r="E200" s="34" t="s">
        <v>252</v>
      </c>
    </row>
    <row r="201" spans="5:5" x14ac:dyDescent="0.25">
      <c r="E201" s="34" t="s">
        <v>253</v>
      </c>
    </row>
    <row r="202" spans="5:5" x14ac:dyDescent="0.25">
      <c r="E202" s="34" t="s">
        <v>254</v>
      </c>
    </row>
    <row r="203" spans="5:5" x14ac:dyDescent="0.25">
      <c r="E203" s="34" t="s">
        <v>255</v>
      </c>
    </row>
    <row r="204" spans="5:5" x14ac:dyDescent="0.25">
      <c r="E204" s="34" t="s">
        <v>256</v>
      </c>
    </row>
    <row r="205" spans="5:5" x14ac:dyDescent="0.25">
      <c r="E205" s="34" t="s">
        <v>257</v>
      </c>
    </row>
    <row r="206" spans="5:5" x14ac:dyDescent="0.25">
      <c r="E206" s="34" t="s">
        <v>258</v>
      </c>
    </row>
    <row r="207" spans="5:5" x14ac:dyDescent="0.25">
      <c r="E207" s="34" t="s">
        <v>259</v>
      </c>
    </row>
    <row r="208" spans="5:5" x14ac:dyDescent="0.25">
      <c r="E208" s="34" t="s">
        <v>260</v>
      </c>
    </row>
    <row r="209" spans="5:5" x14ac:dyDescent="0.25">
      <c r="E209" s="34" t="s">
        <v>261</v>
      </c>
    </row>
    <row r="210" spans="5:5" x14ac:dyDescent="0.25">
      <c r="E210" s="34" t="s">
        <v>262</v>
      </c>
    </row>
    <row r="211" spans="5:5" x14ac:dyDescent="0.25">
      <c r="E211" s="34" t="s">
        <v>263</v>
      </c>
    </row>
    <row r="212" spans="5:5" x14ac:dyDescent="0.25">
      <c r="E212" s="34" t="s">
        <v>264</v>
      </c>
    </row>
    <row r="213" spans="5:5" x14ac:dyDescent="0.25">
      <c r="E213" s="34" t="s">
        <v>265</v>
      </c>
    </row>
    <row r="214" spans="5:5" x14ac:dyDescent="0.25">
      <c r="E214" s="34" t="s">
        <v>266</v>
      </c>
    </row>
    <row r="215" spans="5:5" x14ac:dyDescent="0.25">
      <c r="E215" s="34" t="s">
        <v>267</v>
      </c>
    </row>
    <row r="216" spans="5:5" x14ac:dyDescent="0.25">
      <c r="E216" s="34" t="s">
        <v>268</v>
      </c>
    </row>
    <row r="217" spans="5:5" x14ac:dyDescent="0.25">
      <c r="E217" s="34" t="s">
        <v>269</v>
      </c>
    </row>
    <row r="218" spans="5:5" x14ac:dyDescent="0.25">
      <c r="E218" s="34" t="s">
        <v>270</v>
      </c>
    </row>
    <row r="219" spans="5:5" x14ac:dyDescent="0.25">
      <c r="E219" s="34" t="s">
        <v>271</v>
      </c>
    </row>
    <row r="220" spans="5:5" x14ac:dyDescent="0.25">
      <c r="E220" s="34" t="s">
        <v>272</v>
      </c>
    </row>
    <row r="221" spans="5:5" x14ac:dyDescent="0.25">
      <c r="E221" s="34" t="s">
        <v>273</v>
      </c>
    </row>
    <row r="222" spans="5:5" x14ac:dyDescent="0.25">
      <c r="E222" s="34" t="s">
        <v>274</v>
      </c>
    </row>
    <row r="223" spans="5:5" x14ac:dyDescent="0.25">
      <c r="E223" s="34" t="s">
        <v>275</v>
      </c>
    </row>
    <row r="224" spans="5:5" x14ac:dyDescent="0.25">
      <c r="E224" s="34" t="s">
        <v>276</v>
      </c>
    </row>
    <row r="225" spans="5:5" x14ac:dyDescent="0.25">
      <c r="E225" s="34" t="s">
        <v>277</v>
      </c>
    </row>
    <row r="226" spans="5:5" x14ac:dyDescent="0.25">
      <c r="E226" s="34" t="s">
        <v>278</v>
      </c>
    </row>
    <row r="227" spans="5:5" x14ac:dyDescent="0.25">
      <c r="E227" s="34" t="s">
        <v>279</v>
      </c>
    </row>
    <row r="228" spans="5:5" x14ac:dyDescent="0.25">
      <c r="E228" s="34" t="s">
        <v>280</v>
      </c>
    </row>
    <row r="229" spans="5:5" x14ac:dyDescent="0.25">
      <c r="E229" s="34" t="s">
        <v>281</v>
      </c>
    </row>
    <row r="230" spans="5:5" x14ac:dyDescent="0.25">
      <c r="E230" s="34" t="s">
        <v>282</v>
      </c>
    </row>
    <row r="231" spans="5:5" x14ac:dyDescent="0.25">
      <c r="E231" s="34" t="s">
        <v>283</v>
      </c>
    </row>
    <row r="232" spans="5:5" x14ac:dyDescent="0.25">
      <c r="E232" s="34" t="s">
        <v>284</v>
      </c>
    </row>
    <row r="233" spans="5:5" x14ac:dyDescent="0.25">
      <c r="E233" s="34" t="s">
        <v>285</v>
      </c>
    </row>
    <row r="234" spans="5:5" x14ac:dyDescent="0.25">
      <c r="E234" s="34" t="s">
        <v>286</v>
      </c>
    </row>
    <row r="235" spans="5:5" x14ac:dyDescent="0.25">
      <c r="E235" s="34" t="s">
        <v>287</v>
      </c>
    </row>
    <row r="236" spans="5:5" x14ac:dyDescent="0.25">
      <c r="E236" s="34" t="s">
        <v>288</v>
      </c>
    </row>
    <row r="237" spans="5:5" x14ac:dyDescent="0.25">
      <c r="E237" s="34" t="s">
        <v>289</v>
      </c>
    </row>
    <row r="238" spans="5:5" x14ac:dyDescent="0.25">
      <c r="E238" s="34" t="s">
        <v>290</v>
      </c>
    </row>
    <row r="239" spans="5:5" x14ac:dyDescent="0.25">
      <c r="E239" s="34" t="s">
        <v>291</v>
      </c>
    </row>
    <row r="240" spans="5:5" x14ac:dyDescent="0.25">
      <c r="E240" s="34" t="s">
        <v>292</v>
      </c>
    </row>
    <row r="241" spans="5:5" x14ac:dyDescent="0.25">
      <c r="E241" s="34" t="s">
        <v>293</v>
      </c>
    </row>
    <row r="242" spans="5:5" x14ac:dyDescent="0.25">
      <c r="E242" s="34" t="s">
        <v>294</v>
      </c>
    </row>
    <row r="243" spans="5:5" x14ac:dyDescent="0.25">
      <c r="E243" s="34" t="s">
        <v>295</v>
      </c>
    </row>
    <row r="244" spans="5:5" x14ac:dyDescent="0.25">
      <c r="E244" s="34" t="s">
        <v>296</v>
      </c>
    </row>
    <row r="245" spans="5:5" x14ac:dyDescent="0.25">
      <c r="E245" s="34" t="s">
        <v>297</v>
      </c>
    </row>
    <row r="246" spans="5:5" x14ac:dyDescent="0.25">
      <c r="E246" s="34" t="s">
        <v>298</v>
      </c>
    </row>
    <row r="247" spans="5:5" x14ac:dyDescent="0.25">
      <c r="E247" s="34" t="s">
        <v>299</v>
      </c>
    </row>
    <row r="248" spans="5:5" x14ac:dyDescent="0.25">
      <c r="E248" s="34" t="s">
        <v>300</v>
      </c>
    </row>
    <row r="249" spans="5:5" x14ac:dyDescent="0.25">
      <c r="E249" s="34" t="s">
        <v>301</v>
      </c>
    </row>
    <row r="250" spans="5:5" x14ac:dyDescent="0.25">
      <c r="E250" s="34" t="s">
        <v>302</v>
      </c>
    </row>
    <row r="251" spans="5:5" x14ac:dyDescent="0.25">
      <c r="E251" s="34" t="s">
        <v>303</v>
      </c>
    </row>
    <row r="252" spans="5:5" x14ac:dyDescent="0.25">
      <c r="E252" s="34" t="s">
        <v>304</v>
      </c>
    </row>
    <row r="253" spans="5:5" x14ac:dyDescent="0.25">
      <c r="E253" s="34" t="s">
        <v>305</v>
      </c>
    </row>
    <row r="254" spans="5:5" x14ac:dyDescent="0.25">
      <c r="E254" s="34" t="s">
        <v>306</v>
      </c>
    </row>
    <row r="255" spans="5:5" x14ac:dyDescent="0.25">
      <c r="E255" s="34" t="s">
        <v>307</v>
      </c>
    </row>
    <row r="256" spans="5:5" x14ac:dyDescent="0.25">
      <c r="E256" s="34" t="s">
        <v>308</v>
      </c>
    </row>
    <row r="257" spans="5:5" x14ac:dyDescent="0.25">
      <c r="E257" s="34" t="s">
        <v>309</v>
      </c>
    </row>
    <row r="258" spans="5:5" x14ac:dyDescent="0.25">
      <c r="E258" s="34" t="s">
        <v>310</v>
      </c>
    </row>
    <row r="259" spans="5:5" x14ac:dyDescent="0.25">
      <c r="E259" s="34" t="s">
        <v>311</v>
      </c>
    </row>
    <row r="260" spans="5:5" x14ac:dyDescent="0.25">
      <c r="E260" s="34" t="s">
        <v>312</v>
      </c>
    </row>
    <row r="261" spans="5:5" x14ac:dyDescent="0.25">
      <c r="E261" s="34" t="s">
        <v>313</v>
      </c>
    </row>
    <row r="262" spans="5:5" x14ac:dyDescent="0.25">
      <c r="E262" s="34" t="s">
        <v>314</v>
      </c>
    </row>
    <row r="263" spans="5:5" x14ac:dyDescent="0.25">
      <c r="E263" s="34" t="s">
        <v>315</v>
      </c>
    </row>
    <row r="264" spans="5:5" x14ac:dyDescent="0.25">
      <c r="E264" s="34" t="s">
        <v>316</v>
      </c>
    </row>
    <row r="265" spans="5:5" x14ac:dyDescent="0.25">
      <c r="E265" s="34" t="s">
        <v>317</v>
      </c>
    </row>
    <row r="266" spans="5:5" x14ac:dyDescent="0.25">
      <c r="E266" s="34" t="s">
        <v>318</v>
      </c>
    </row>
    <row r="267" spans="5:5" x14ac:dyDescent="0.25">
      <c r="E267" s="34" t="s">
        <v>319</v>
      </c>
    </row>
    <row r="268" spans="5:5" x14ac:dyDescent="0.25">
      <c r="E268" s="34" t="s">
        <v>320</v>
      </c>
    </row>
    <row r="269" spans="5:5" x14ac:dyDescent="0.25">
      <c r="E269" s="34" t="s">
        <v>321</v>
      </c>
    </row>
    <row r="270" spans="5:5" x14ac:dyDescent="0.25">
      <c r="E270" s="34" t="s">
        <v>322</v>
      </c>
    </row>
    <row r="271" spans="5:5" x14ac:dyDescent="0.25">
      <c r="E271" s="34" t="s">
        <v>323</v>
      </c>
    </row>
    <row r="272" spans="5:5" x14ac:dyDescent="0.25">
      <c r="E272" s="34" t="s">
        <v>324</v>
      </c>
    </row>
    <row r="273" spans="5:5" x14ac:dyDescent="0.25">
      <c r="E273" s="34" t="s">
        <v>325</v>
      </c>
    </row>
    <row r="274" spans="5:5" x14ac:dyDescent="0.25">
      <c r="E274" s="34" t="s">
        <v>326</v>
      </c>
    </row>
    <row r="275" spans="5:5" x14ac:dyDescent="0.25">
      <c r="E275" s="34" t="s">
        <v>327</v>
      </c>
    </row>
    <row r="276" spans="5:5" x14ac:dyDescent="0.25">
      <c r="E276" s="34" t="s">
        <v>328</v>
      </c>
    </row>
    <row r="277" spans="5:5" x14ac:dyDescent="0.25">
      <c r="E277" s="34" t="s">
        <v>329</v>
      </c>
    </row>
    <row r="278" spans="5:5" x14ac:dyDescent="0.25">
      <c r="E278" s="34" t="s">
        <v>330</v>
      </c>
    </row>
    <row r="279" spans="5:5" x14ac:dyDescent="0.25">
      <c r="E279" s="34" t="s">
        <v>331</v>
      </c>
    </row>
    <row r="280" spans="5:5" x14ac:dyDescent="0.25">
      <c r="E280" s="34" t="s">
        <v>332</v>
      </c>
    </row>
    <row r="281" spans="5:5" x14ac:dyDescent="0.25">
      <c r="E281" s="34" t="s">
        <v>333</v>
      </c>
    </row>
    <row r="282" spans="5:5" x14ac:dyDescent="0.25">
      <c r="E282" s="34" t="s">
        <v>334</v>
      </c>
    </row>
    <row r="283" spans="5:5" x14ac:dyDescent="0.25">
      <c r="E283" s="34" t="s">
        <v>335</v>
      </c>
    </row>
    <row r="284" spans="5:5" x14ac:dyDescent="0.25">
      <c r="E284" s="34" t="s">
        <v>336</v>
      </c>
    </row>
    <row r="285" spans="5:5" x14ac:dyDescent="0.25">
      <c r="E285" s="34" t="s">
        <v>337</v>
      </c>
    </row>
    <row r="286" spans="5:5" x14ac:dyDescent="0.25">
      <c r="E286" s="34" t="s">
        <v>338</v>
      </c>
    </row>
    <row r="287" spans="5:5" x14ac:dyDescent="0.25">
      <c r="E287" s="34" t="s">
        <v>339</v>
      </c>
    </row>
    <row r="288" spans="5:5" x14ac:dyDescent="0.25">
      <c r="E288" s="34" t="s">
        <v>340</v>
      </c>
    </row>
    <row r="289" spans="5:5" x14ac:dyDescent="0.25">
      <c r="E289" s="34" t="s">
        <v>341</v>
      </c>
    </row>
    <row r="290" spans="5:5" x14ac:dyDescent="0.25">
      <c r="E290" s="34" t="s">
        <v>342</v>
      </c>
    </row>
    <row r="291" spans="5:5" x14ac:dyDescent="0.25">
      <c r="E291" s="34" t="s">
        <v>343</v>
      </c>
    </row>
    <row r="292" spans="5:5" x14ac:dyDescent="0.25">
      <c r="E292" s="34" t="s">
        <v>344</v>
      </c>
    </row>
    <row r="293" spans="5:5" x14ac:dyDescent="0.25">
      <c r="E293" s="34" t="s">
        <v>345</v>
      </c>
    </row>
    <row r="294" spans="5:5" x14ac:dyDescent="0.25">
      <c r="E294" s="34" t="s">
        <v>346</v>
      </c>
    </row>
    <row r="295" spans="5:5" x14ac:dyDescent="0.25">
      <c r="E295" s="34" t="s">
        <v>347</v>
      </c>
    </row>
    <row r="296" spans="5:5" x14ac:dyDescent="0.25">
      <c r="E296" s="34" t="s">
        <v>348</v>
      </c>
    </row>
    <row r="297" spans="5:5" x14ac:dyDescent="0.25">
      <c r="E297" s="34" t="s">
        <v>349</v>
      </c>
    </row>
    <row r="298" spans="5:5" x14ac:dyDescent="0.25">
      <c r="E298" s="34" t="s">
        <v>350</v>
      </c>
    </row>
    <row r="299" spans="5:5" x14ac:dyDescent="0.25">
      <c r="E299" s="34" t="s">
        <v>351</v>
      </c>
    </row>
    <row r="300" spans="5:5" x14ac:dyDescent="0.25">
      <c r="E300" s="34" t="s">
        <v>352</v>
      </c>
    </row>
    <row r="301" spans="5:5" x14ac:dyDescent="0.25">
      <c r="E301" s="34" t="s">
        <v>353</v>
      </c>
    </row>
    <row r="302" spans="5:5" x14ac:dyDescent="0.25">
      <c r="E302" s="34" t="s">
        <v>354</v>
      </c>
    </row>
    <row r="303" spans="5:5" x14ac:dyDescent="0.25">
      <c r="E303" s="34" t="s">
        <v>355</v>
      </c>
    </row>
    <row r="304" spans="5:5" x14ac:dyDescent="0.25">
      <c r="E304" s="34" t="s">
        <v>356</v>
      </c>
    </row>
    <row r="305" spans="5:5" x14ac:dyDescent="0.25">
      <c r="E305" s="34" t="s">
        <v>357</v>
      </c>
    </row>
    <row r="306" spans="5:5" x14ac:dyDescent="0.25">
      <c r="E306" s="34" t="s">
        <v>358</v>
      </c>
    </row>
    <row r="307" spans="5:5" x14ac:dyDescent="0.25">
      <c r="E307" s="34" t="s">
        <v>359</v>
      </c>
    </row>
    <row r="308" spans="5:5" x14ac:dyDescent="0.25">
      <c r="E308" s="34" t="s">
        <v>360</v>
      </c>
    </row>
    <row r="309" spans="5:5" x14ac:dyDescent="0.25">
      <c r="E309" s="34" t="s">
        <v>361</v>
      </c>
    </row>
    <row r="310" spans="5:5" x14ac:dyDescent="0.25">
      <c r="E310" s="34" t="s">
        <v>362</v>
      </c>
    </row>
    <row r="311" spans="5:5" x14ac:dyDescent="0.25">
      <c r="E311" s="34" t="s">
        <v>363</v>
      </c>
    </row>
    <row r="312" spans="5:5" x14ac:dyDescent="0.25">
      <c r="E312" s="34" t="s">
        <v>364</v>
      </c>
    </row>
    <row r="313" spans="5:5" x14ac:dyDescent="0.25">
      <c r="E313" s="34" t="s">
        <v>365</v>
      </c>
    </row>
    <row r="314" spans="5:5" x14ac:dyDescent="0.25">
      <c r="E314" s="34" t="s">
        <v>366</v>
      </c>
    </row>
    <row r="315" spans="5:5" x14ac:dyDescent="0.25">
      <c r="E315" s="34" t="s">
        <v>367</v>
      </c>
    </row>
    <row r="316" spans="5:5" x14ac:dyDescent="0.25">
      <c r="E316" s="34" t="s">
        <v>368</v>
      </c>
    </row>
    <row r="317" spans="5:5" x14ac:dyDescent="0.25">
      <c r="E317" s="34" t="s">
        <v>369</v>
      </c>
    </row>
    <row r="318" spans="5:5" x14ac:dyDescent="0.25">
      <c r="E318" s="34" t="s">
        <v>370</v>
      </c>
    </row>
    <row r="319" spans="5:5" x14ac:dyDescent="0.25">
      <c r="E319" s="34" t="s">
        <v>371</v>
      </c>
    </row>
    <row r="320" spans="5:5" x14ac:dyDescent="0.25">
      <c r="E320" s="34" t="s">
        <v>372</v>
      </c>
    </row>
    <row r="321" spans="5:5" x14ac:dyDescent="0.25">
      <c r="E321" s="34" t="s">
        <v>373</v>
      </c>
    </row>
    <row r="322" spans="5:5" x14ac:dyDescent="0.25">
      <c r="E322" s="34" t="s">
        <v>374</v>
      </c>
    </row>
    <row r="323" spans="5:5" x14ac:dyDescent="0.25">
      <c r="E323" s="34" t="s">
        <v>375</v>
      </c>
    </row>
    <row r="324" spans="5:5" x14ac:dyDescent="0.25">
      <c r="E324" s="34" t="s">
        <v>376</v>
      </c>
    </row>
    <row r="325" spans="5:5" x14ac:dyDescent="0.25">
      <c r="E325" s="34" t="s">
        <v>377</v>
      </c>
    </row>
    <row r="326" spans="5:5" x14ac:dyDescent="0.25">
      <c r="E326" s="34" t="s">
        <v>378</v>
      </c>
    </row>
    <row r="327" spans="5:5" x14ac:dyDescent="0.25">
      <c r="E327" s="34" t="s">
        <v>379</v>
      </c>
    </row>
    <row r="328" spans="5:5" x14ac:dyDescent="0.25">
      <c r="E328" s="34" t="s">
        <v>380</v>
      </c>
    </row>
    <row r="329" spans="5:5" x14ac:dyDescent="0.25">
      <c r="E329" s="34" t="s">
        <v>381</v>
      </c>
    </row>
    <row r="330" spans="5:5" x14ac:dyDescent="0.25">
      <c r="E330" s="34" t="s">
        <v>382</v>
      </c>
    </row>
    <row r="331" spans="5:5" x14ac:dyDescent="0.25">
      <c r="E331" s="34" t="s">
        <v>383</v>
      </c>
    </row>
    <row r="332" spans="5:5" x14ac:dyDescent="0.25">
      <c r="E332" s="34" t="s">
        <v>384</v>
      </c>
    </row>
    <row r="333" spans="5:5" x14ac:dyDescent="0.25">
      <c r="E333" s="34" t="s">
        <v>385</v>
      </c>
    </row>
    <row r="334" spans="5:5" x14ac:dyDescent="0.25">
      <c r="E334" s="34" t="s">
        <v>386</v>
      </c>
    </row>
    <row r="335" spans="5:5" x14ac:dyDescent="0.25">
      <c r="E335" s="34" t="s">
        <v>387</v>
      </c>
    </row>
    <row r="336" spans="5:5" x14ac:dyDescent="0.25">
      <c r="E336" s="34" t="s">
        <v>388</v>
      </c>
    </row>
    <row r="337" spans="5:5" x14ac:dyDescent="0.25">
      <c r="E337" s="34" t="s">
        <v>389</v>
      </c>
    </row>
    <row r="338" spans="5:5" x14ac:dyDescent="0.25">
      <c r="E338" s="34" t="s">
        <v>390</v>
      </c>
    </row>
    <row r="339" spans="5:5" x14ac:dyDescent="0.25">
      <c r="E339" s="34" t="s">
        <v>391</v>
      </c>
    </row>
    <row r="340" spans="5:5" x14ac:dyDescent="0.25">
      <c r="E340" s="34" t="s">
        <v>392</v>
      </c>
    </row>
    <row r="341" spans="5:5" x14ac:dyDescent="0.25">
      <c r="E341" s="34" t="s">
        <v>393</v>
      </c>
    </row>
    <row r="342" spans="5:5" x14ac:dyDescent="0.25">
      <c r="E342" s="34" t="s">
        <v>394</v>
      </c>
    </row>
    <row r="343" spans="5:5" x14ac:dyDescent="0.25">
      <c r="E343" s="34" t="s">
        <v>395</v>
      </c>
    </row>
    <row r="344" spans="5:5" x14ac:dyDescent="0.25">
      <c r="E344" s="34" t="s">
        <v>396</v>
      </c>
    </row>
    <row r="345" spans="5:5" x14ac:dyDescent="0.25">
      <c r="E345" s="34" t="s">
        <v>397</v>
      </c>
    </row>
    <row r="346" spans="5:5" x14ac:dyDescent="0.25">
      <c r="E346" s="34" t="s">
        <v>398</v>
      </c>
    </row>
    <row r="347" spans="5:5" x14ac:dyDescent="0.25">
      <c r="E347" s="34" t="s">
        <v>399</v>
      </c>
    </row>
    <row r="348" spans="5:5" x14ac:dyDescent="0.25">
      <c r="E348" s="34" t="s">
        <v>400</v>
      </c>
    </row>
    <row r="349" spans="5:5" x14ac:dyDescent="0.25">
      <c r="E349" s="34" t="s">
        <v>401</v>
      </c>
    </row>
    <row r="350" spans="5:5" x14ac:dyDescent="0.25">
      <c r="E350" s="34" t="s">
        <v>402</v>
      </c>
    </row>
    <row r="351" spans="5:5" x14ac:dyDescent="0.25">
      <c r="E351" s="34" t="s">
        <v>403</v>
      </c>
    </row>
    <row r="352" spans="5:5" x14ac:dyDescent="0.25">
      <c r="E352" s="34" t="s">
        <v>404</v>
      </c>
    </row>
    <row r="353" spans="5:5" x14ac:dyDescent="0.25">
      <c r="E353" s="34" t="s">
        <v>405</v>
      </c>
    </row>
    <row r="354" spans="5:5" x14ac:dyDescent="0.25">
      <c r="E354" s="34" t="s">
        <v>406</v>
      </c>
    </row>
    <row r="355" spans="5:5" x14ac:dyDescent="0.25">
      <c r="E355" s="34" t="s">
        <v>407</v>
      </c>
    </row>
    <row r="356" spans="5:5" x14ac:dyDescent="0.25">
      <c r="E356" s="34" t="s">
        <v>408</v>
      </c>
    </row>
    <row r="357" spans="5:5" x14ac:dyDescent="0.25">
      <c r="E357" s="34" t="s">
        <v>409</v>
      </c>
    </row>
    <row r="358" spans="5:5" x14ac:dyDescent="0.25">
      <c r="E358" s="34" t="s">
        <v>410</v>
      </c>
    </row>
    <row r="359" spans="5:5" x14ac:dyDescent="0.25">
      <c r="E359" s="34" t="s">
        <v>411</v>
      </c>
    </row>
    <row r="360" spans="5:5" x14ac:dyDescent="0.25">
      <c r="E360" s="34" t="s">
        <v>412</v>
      </c>
    </row>
    <row r="361" spans="5:5" x14ac:dyDescent="0.25">
      <c r="E361" s="34" t="s">
        <v>413</v>
      </c>
    </row>
    <row r="362" spans="5:5" x14ac:dyDescent="0.25">
      <c r="E362" s="34" t="s">
        <v>414</v>
      </c>
    </row>
    <row r="363" spans="5:5" x14ac:dyDescent="0.25">
      <c r="E363" s="34" t="s">
        <v>415</v>
      </c>
    </row>
    <row r="364" spans="5:5" x14ac:dyDescent="0.25">
      <c r="E364" s="34" t="s">
        <v>416</v>
      </c>
    </row>
    <row r="365" spans="5:5" x14ac:dyDescent="0.25">
      <c r="E365" s="34" t="s">
        <v>417</v>
      </c>
    </row>
    <row r="366" spans="5:5" x14ac:dyDescent="0.25">
      <c r="E366" s="34" t="s">
        <v>418</v>
      </c>
    </row>
    <row r="367" spans="5:5" x14ac:dyDescent="0.25">
      <c r="E367" s="34" t="s">
        <v>419</v>
      </c>
    </row>
    <row r="368" spans="5:5" x14ac:dyDescent="0.25">
      <c r="E368" s="34" t="s">
        <v>420</v>
      </c>
    </row>
    <row r="369" spans="5:5" x14ac:dyDescent="0.25">
      <c r="E369" s="34" t="s">
        <v>421</v>
      </c>
    </row>
  </sheetData>
  <sortState ref="F3:F7">
    <sortCondition ref="F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MRO_А_23.06.2023</vt:lpstr>
      <vt:lpstr>Inputs</vt:lpstr>
      <vt:lpstr>MRO_А_23.06.2023!Print_Area</vt:lpstr>
    </vt:vector>
  </TitlesOfParts>
  <Company>Airbus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KRYUCHKOV, Alexander</dc:creator>
  <cp:lastModifiedBy>Рязанов Максим Петрович</cp:lastModifiedBy>
  <cp:lastPrinted>2023-06-23T12:09:30Z</cp:lastPrinted>
  <dcterms:created xsi:type="dcterms:W3CDTF">2019-05-22T12:14:51Z</dcterms:created>
  <dcterms:modified xsi:type="dcterms:W3CDTF">2026-04-14T07:14:24Z</dcterms:modified>
</cp:coreProperties>
</file>